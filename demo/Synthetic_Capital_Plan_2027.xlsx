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272108EE-7E52-4E74-8453-A1DAB34E9CE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apital Plan 2027" sheetId="1" r:id="rId1"/>
  </sheets>
  <definedNames>
    <definedName name="_xlnm.Print_Area" localSheetId="0">'Capital Plan 2027'!$A$1:$AQ$169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68" i="1" l="1"/>
  <c r="W168" i="1"/>
  <c r="V168" i="1"/>
  <c r="U168" i="1"/>
  <c r="T168" i="1"/>
  <c r="AK167" i="1"/>
  <c r="W167" i="1"/>
  <c r="V167" i="1"/>
  <c r="U167" i="1"/>
  <c r="T167" i="1"/>
  <c r="X167" i="1" s="1"/>
  <c r="AN167" i="1" s="1"/>
  <c r="AK166" i="1"/>
  <c r="W166" i="1"/>
  <c r="V166" i="1"/>
  <c r="U166" i="1"/>
  <c r="T166" i="1"/>
  <c r="X166" i="1" s="1"/>
  <c r="AM166" i="1" s="1"/>
  <c r="AK165" i="1"/>
  <c r="W165" i="1"/>
  <c r="V165" i="1"/>
  <c r="U165" i="1"/>
  <c r="T165" i="1"/>
  <c r="AK164" i="1"/>
  <c r="W164" i="1"/>
  <c r="V164" i="1"/>
  <c r="U164" i="1"/>
  <c r="T164" i="1"/>
  <c r="AK163" i="1"/>
  <c r="W163" i="1"/>
  <c r="V163" i="1"/>
  <c r="U163" i="1"/>
  <c r="T163" i="1"/>
  <c r="AK162" i="1"/>
  <c r="W162" i="1"/>
  <c r="V162" i="1"/>
  <c r="U162" i="1"/>
  <c r="T162" i="1"/>
  <c r="AO161" i="1"/>
  <c r="AO150" i="1" s="1"/>
  <c r="AL161" i="1"/>
  <c r="AL150" i="1" s="1"/>
  <c r="AJ161" i="1"/>
  <c r="AJ150" i="1" s="1"/>
  <c r="AI161" i="1"/>
  <c r="AH161" i="1"/>
  <c r="AG161" i="1"/>
  <c r="AF161" i="1"/>
  <c r="AE161" i="1"/>
  <c r="AD161" i="1"/>
  <c r="AC161" i="1"/>
  <c r="AB161" i="1"/>
  <c r="AA161" i="1"/>
  <c r="Z161" i="1"/>
  <c r="Y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AK160" i="1"/>
  <c r="W160" i="1"/>
  <c r="V160" i="1"/>
  <c r="U160" i="1"/>
  <c r="T160" i="1"/>
  <c r="X160" i="1" s="1"/>
  <c r="AK159" i="1"/>
  <c r="W159" i="1"/>
  <c r="V159" i="1"/>
  <c r="U159" i="1"/>
  <c r="T159" i="1"/>
  <c r="X159" i="1" s="1"/>
  <c r="AK158" i="1"/>
  <c r="W158" i="1"/>
  <c r="V158" i="1"/>
  <c r="U158" i="1"/>
  <c r="T158" i="1"/>
  <c r="AK157" i="1"/>
  <c r="W157" i="1"/>
  <c r="V157" i="1"/>
  <c r="U157" i="1"/>
  <c r="T157" i="1"/>
  <c r="AK156" i="1"/>
  <c r="W156" i="1"/>
  <c r="V156" i="1"/>
  <c r="U156" i="1"/>
  <c r="T156" i="1"/>
  <c r="X156" i="1" s="1"/>
  <c r="AN155" i="1"/>
  <c r="AM155" i="1"/>
  <c r="AK155" i="1"/>
  <c r="W155" i="1"/>
  <c r="V155" i="1"/>
  <c r="U155" i="1"/>
  <c r="T155" i="1"/>
  <c r="X155" i="1" s="1"/>
  <c r="AK154" i="1"/>
  <c r="W154" i="1"/>
  <c r="V154" i="1"/>
  <c r="U154" i="1"/>
  <c r="T154" i="1"/>
  <c r="X154" i="1" s="1"/>
  <c r="AK153" i="1"/>
  <c r="W153" i="1"/>
  <c r="V153" i="1"/>
  <c r="U153" i="1"/>
  <c r="T153" i="1"/>
  <c r="X153" i="1" s="1"/>
  <c r="AK152" i="1"/>
  <c r="W152" i="1"/>
  <c r="V152" i="1"/>
  <c r="U152" i="1"/>
  <c r="T152" i="1"/>
  <c r="AO151" i="1"/>
  <c r="AL151" i="1"/>
  <c r="AJ151" i="1"/>
  <c r="AI151" i="1"/>
  <c r="AH151" i="1"/>
  <c r="AG151" i="1"/>
  <c r="AF151" i="1"/>
  <c r="AE151" i="1"/>
  <c r="AD151" i="1"/>
  <c r="AC151" i="1"/>
  <c r="AC150" i="1" s="1"/>
  <c r="AB151" i="1"/>
  <c r="AB150" i="1" s="1"/>
  <c r="AA151" i="1"/>
  <c r="AA150" i="1" s="1"/>
  <c r="Z151" i="1"/>
  <c r="Z150" i="1" s="1"/>
  <c r="Y151" i="1"/>
  <c r="Y150" i="1" s="1"/>
  <c r="S151" i="1"/>
  <c r="S150" i="1" s="1"/>
  <c r="R151" i="1"/>
  <c r="Q151" i="1"/>
  <c r="P151" i="1"/>
  <c r="P150" i="1" s="1"/>
  <c r="O151" i="1"/>
  <c r="O150" i="1" s="1"/>
  <c r="N151" i="1"/>
  <c r="N150" i="1" s="1"/>
  <c r="M151" i="1"/>
  <c r="M150" i="1" s="1"/>
  <c r="L151" i="1"/>
  <c r="K151" i="1"/>
  <c r="J151" i="1"/>
  <c r="I151" i="1"/>
  <c r="H151" i="1"/>
  <c r="L150" i="1"/>
  <c r="K150" i="1"/>
  <c r="AK149" i="1"/>
  <c r="W149" i="1"/>
  <c r="V149" i="1"/>
  <c r="U149" i="1"/>
  <c r="T149" i="1"/>
  <c r="AK148" i="1"/>
  <c r="W148" i="1"/>
  <c r="V148" i="1"/>
  <c r="U148" i="1"/>
  <c r="T148" i="1"/>
  <c r="AK147" i="1"/>
  <c r="W147" i="1"/>
  <c r="V147" i="1"/>
  <c r="U147" i="1"/>
  <c r="T147" i="1"/>
  <c r="AK146" i="1"/>
  <c r="W146" i="1"/>
  <c r="V146" i="1"/>
  <c r="U146" i="1"/>
  <c r="T146" i="1"/>
  <c r="X146" i="1" s="1"/>
  <c r="AK145" i="1"/>
  <c r="W145" i="1"/>
  <c r="V145" i="1"/>
  <c r="U145" i="1"/>
  <c r="T145" i="1"/>
  <c r="AK144" i="1"/>
  <c r="W144" i="1"/>
  <c r="X144" i="1" s="1"/>
  <c r="AN144" i="1" s="1"/>
  <c r="V144" i="1"/>
  <c r="U144" i="1"/>
  <c r="T144" i="1"/>
  <c r="AK143" i="1"/>
  <c r="W143" i="1"/>
  <c r="V143" i="1"/>
  <c r="U143" i="1"/>
  <c r="T143" i="1"/>
  <c r="X143" i="1" s="1"/>
  <c r="AK142" i="1"/>
  <c r="W142" i="1"/>
  <c r="V142" i="1"/>
  <c r="U142" i="1"/>
  <c r="T142" i="1"/>
  <c r="AK141" i="1"/>
  <c r="W141" i="1"/>
  <c r="V141" i="1"/>
  <c r="U141" i="1"/>
  <c r="T141" i="1"/>
  <c r="X141" i="1" s="1"/>
  <c r="AK140" i="1"/>
  <c r="W140" i="1"/>
  <c r="V140" i="1"/>
  <c r="U140" i="1"/>
  <c r="T140" i="1"/>
  <c r="AO139" i="1"/>
  <c r="AL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S139" i="1"/>
  <c r="R139" i="1"/>
  <c r="Q139" i="1"/>
  <c r="Q124" i="1" s="1"/>
  <c r="P139" i="1"/>
  <c r="P124" i="1" s="1"/>
  <c r="O139" i="1"/>
  <c r="O124" i="1" s="1"/>
  <c r="N139" i="1"/>
  <c r="M139" i="1"/>
  <c r="L139" i="1"/>
  <c r="K139" i="1"/>
  <c r="J139" i="1"/>
  <c r="I139" i="1"/>
  <c r="H139" i="1"/>
  <c r="AK138" i="1"/>
  <c r="W138" i="1"/>
  <c r="V138" i="1"/>
  <c r="U138" i="1"/>
  <c r="T138" i="1"/>
  <c r="X138" i="1" s="1"/>
  <c r="AK137" i="1"/>
  <c r="W137" i="1"/>
  <c r="V137" i="1"/>
  <c r="U137" i="1"/>
  <c r="T137" i="1"/>
  <c r="AK136" i="1"/>
  <c r="W136" i="1"/>
  <c r="V136" i="1"/>
  <c r="U136" i="1"/>
  <c r="T136" i="1"/>
  <c r="AK135" i="1"/>
  <c r="W135" i="1"/>
  <c r="V135" i="1"/>
  <c r="U135" i="1"/>
  <c r="T135" i="1"/>
  <c r="X135" i="1" s="1"/>
  <c r="AK134" i="1"/>
  <c r="W134" i="1"/>
  <c r="V134" i="1"/>
  <c r="U134" i="1"/>
  <c r="T134" i="1"/>
  <c r="X134" i="1" s="1"/>
  <c r="AK133" i="1"/>
  <c r="W133" i="1"/>
  <c r="V133" i="1"/>
  <c r="U133" i="1"/>
  <c r="T133" i="1"/>
  <c r="X133" i="1" s="1"/>
  <c r="AK132" i="1"/>
  <c r="W132" i="1"/>
  <c r="V132" i="1"/>
  <c r="U132" i="1"/>
  <c r="T132" i="1"/>
  <c r="AK131" i="1"/>
  <c r="W131" i="1"/>
  <c r="V131" i="1"/>
  <c r="U131" i="1"/>
  <c r="T131" i="1"/>
  <c r="AK130" i="1"/>
  <c r="W130" i="1"/>
  <c r="V130" i="1"/>
  <c r="U130" i="1"/>
  <c r="T130" i="1"/>
  <c r="X130" i="1" s="1"/>
  <c r="AN130" i="1" s="1"/>
  <c r="AK129" i="1"/>
  <c r="W129" i="1"/>
  <c r="V129" i="1"/>
  <c r="U129" i="1"/>
  <c r="T129" i="1"/>
  <c r="X129" i="1" s="1"/>
  <c r="AK128" i="1"/>
  <c r="W128" i="1"/>
  <c r="V128" i="1"/>
  <c r="U128" i="1"/>
  <c r="T128" i="1"/>
  <c r="X128" i="1" s="1"/>
  <c r="AK127" i="1"/>
  <c r="W127" i="1"/>
  <c r="V127" i="1"/>
  <c r="U127" i="1"/>
  <c r="T127" i="1"/>
  <c r="X127" i="1" s="1"/>
  <c r="AM127" i="1" s="1"/>
  <c r="AK126" i="1"/>
  <c r="W126" i="1"/>
  <c r="V126" i="1"/>
  <c r="U126" i="1"/>
  <c r="T126" i="1"/>
  <c r="X126" i="1" s="1"/>
  <c r="AO125" i="1"/>
  <c r="AL125" i="1"/>
  <c r="AJ125" i="1"/>
  <c r="AI125" i="1"/>
  <c r="AH125" i="1"/>
  <c r="AH124" i="1" s="1"/>
  <c r="AG125" i="1"/>
  <c r="AG124" i="1" s="1"/>
  <c r="AF125" i="1"/>
  <c r="AF124" i="1" s="1"/>
  <c r="AE125" i="1"/>
  <c r="AE124" i="1" s="1"/>
  <c r="AD125" i="1"/>
  <c r="AD124" i="1" s="1"/>
  <c r="AC125" i="1"/>
  <c r="AC124" i="1" s="1"/>
  <c r="AB125" i="1"/>
  <c r="AB124" i="1" s="1"/>
  <c r="AA125" i="1"/>
  <c r="AA124" i="1" s="1"/>
  <c r="Z125" i="1"/>
  <c r="Z124" i="1" s="1"/>
  <c r="Y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L124" i="1"/>
  <c r="K124" i="1"/>
  <c r="J124" i="1"/>
  <c r="I124" i="1"/>
  <c r="H124" i="1"/>
  <c r="AK123" i="1"/>
  <c r="W123" i="1"/>
  <c r="V123" i="1"/>
  <c r="U123" i="1"/>
  <c r="T123" i="1"/>
  <c r="AK122" i="1"/>
  <c r="W122" i="1"/>
  <c r="V122" i="1"/>
  <c r="U122" i="1"/>
  <c r="T122" i="1"/>
  <c r="X122" i="1" s="1"/>
  <c r="AN122" i="1" s="1"/>
  <c r="AK121" i="1"/>
  <c r="W121" i="1"/>
  <c r="V121" i="1"/>
  <c r="U121" i="1"/>
  <c r="T121" i="1"/>
  <c r="AK120" i="1"/>
  <c r="W120" i="1"/>
  <c r="V120" i="1"/>
  <c r="U120" i="1"/>
  <c r="T120" i="1"/>
  <c r="AK119" i="1"/>
  <c r="W119" i="1"/>
  <c r="V119" i="1"/>
  <c r="U119" i="1"/>
  <c r="T119" i="1"/>
  <c r="X119" i="1" s="1"/>
  <c r="AN119" i="1" s="1"/>
  <c r="AK118" i="1"/>
  <c r="W118" i="1"/>
  <c r="V118" i="1"/>
  <c r="U118" i="1"/>
  <c r="T118" i="1"/>
  <c r="X118" i="1" s="1"/>
  <c r="AK117" i="1"/>
  <c r="W117" i="1"/>
  <c r="V117" i="1"/>
  <c r="U117" i="1"/>
  <c r="T117" i="1"/>
  <c r="AK116" i="1"/>
  <c r="W116" i="1"/>
  <c r="V116" i="1"/>
  <c r="U116" i="1"/>
  <c r="T116" i="1"/>
  <c r="X116" i="1" s="1"/>
  <c r="AM116" i="1" s="1"/>
  <c r="AK115" i="1"/>
  <c r="W115" i="1"/>
  <c r="V115" i="1"/>
  <c r="U115" i="1"/>
  <c r="T115" i="1"/>
  <c r="AK114" i="1"/>
  <c r="W114" i="1"/>
  <c r="V114" i="1"/>
  <c r="U114" i="1"/>
  <c r="T114" i="1"/>
  <c r="X114" i="1" s="1"/>
  <c r="AK113" i="1"/>
  <c r="W113" i="1"/>
  <c r="V113" i="1"/>
  <c r="U113" i="1"/>
  <c r="T113" i="1"/>
  <c r="X113" i="1" s="1"/>
  <c r="AO112" i="1"/>
  <c r="AL112" i="1"/>
  <c r="AJ112" i="1"/>
  <c r="AI112" i="1"/>
  <c r="AH112" i="1"/>
  <c r="AG112" i="1"/>
  <c r="AF112" i="1"/>
  <c r="AF102" i="1" s="1"/>
  <c r="AE112" i="1"/>
  <c r="AD112" i="1"/>
  <c r="AC112" i="1"/>
  <c r="AC102" i="1" s="1"/>
  <c r="AB112" i="1"/>
  <c r="AA112" i="1"/>
  <c r="Z112" i="1"/>
  <c r="Y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AK111" i="1"/>
  <c r="W111" i="1"/>
  <c r="X111" i="1" s="1"/>
  <c r="AN111" i="1" s="1"/>
  <c r="V111" i="1"/>
  <c r="U111" i="1"/>
  <c r="T111" i="1"/>
  <c r="AK110" i="1"/>
  <c r="W110" i="1"/>
  <c r="V110" i="1"/>
  <c r="U110" i="1"/>
  <c r="T110" i="1"/>
  <c r="AK109" i="1"/>
  <c r="W109" i="1"/>
  <c r="V109" i="1"/>
  <c r="U109" i="1"/>
  <c r="T109" i="1"/>
  <c r="X109" i="1" s="1"/>
  <c r="AK108" i="1"/>
  <c r="W108" i="1"/>
  <c r="V108" i="1"/>
  <c r="U108" i="1"/>
  <c r="T108" i="1"/>
  <c r="X108" i="1" s="1"/>
  <c r="AK107" i="1"/>
  <c r="W107" i="1"/>
  <c r="V107" i="1"/>
  <c r="U107" i="1"/>
  <c r="T107" i="1"/>
  <c r="AK106" i="1"/>
  <c r="W106" i="1"/>
  <c r="V106" i="1"/>
  <c r="U106" i="1"/>
  <c r="T106" i="1"/>
  <c r="AK105" i="1"/>
  <c r="W105" i="1"/>
  <c r="V105" i="1"/>
  <c r="U105" i="1"/>
  <c r="T105" i="1"/>
  <c r="AK104" i="1"/>
  <c r="W104" i="1"/>
  <c r="V104" i="1"/>
  <c r="U104" i="1"/>
  <c r="T104" i="1"/>
  <c r="AO103" i="1"/>
  <c r="AO102" i="1" s="1"/>
  <c r="AL103" i="1"/>
  <c r="AL102" i="1" s="1"/>
  <c r="AJ103" i="1"/>
  <c r="AI103" i="1"/>
  <c r="AH103" i="1"/>
  <c r="AH102" i="1" s="1"/>
  <c r="AG103" i="1"/>
  <c r="AG102" i="1" s="1"/>
  <c r="AF103" i="1"/>
  <c r="AE103" i="1"/>
  <c r="AE102" i="1" s="1"/>
  <c r="AD103" i="1"/>
  <c r="AC103" i="1"/>
  <c r="AB103" i="1"/>
  <c r="AA103" i="1"/>
  <c r="AA102" i="1" s="1"/>
  <c r="Z103" i="1"/>
  <c r="Z102" i="1" s="1"/>
  <c r="Y103" i="1"/>
  <c r="Y102" i="1" s="1"/>
  <c r="S103" i="1"/>
  <c r="S102" i="1" s="1"/>
  <c r="R103" i="1"/>
  <c r="R102" i="1" s="1"/>
  <c r="Q103" i="1"/>
  <c r="Q102" i="1" s="1"/>
  <c r="P103" i="1"/>
  <c r="P102" i="1" s="1"/>
  <c r="O103" i="1"/>
  <c r="O102" i="1" s="1"/>
  <c r="N103" i="1"/>
  <c r="N102" i="1" s="1"/>
  <c r="M103" i="1"/>
  <c r="M102" i="1" s="1"/>
  <c r="L103" i="1"/>
  <c r="L102" i="1" s="1"/>
  <c r="K103" i="1"/>
  <c r="K102" i="1" s="1"/>
  <c r="J103" i="1"/>
  <c r="J102" i="1" s="1"/>
  <c r="I103" i="1"/>
  <c r="I102" i="1" s="1"/>
  <c r="H103" i="1"/>
  <c r="H102" i="1" s="1"/>
  <c r="AJ102" i="1"/>
  <c r="AI102" i="1"/>
  <c r="AK101" i="1"/>
  <c r="W101" i="1"/>
  <c r="V101" i="1"/>
  <c r="U101" i="1"/>
  <c r="T101" i="1"/>
  <c r="AK100" i="1"/>
  <c r="W100" i="1"/>
  <c r="V100" i="1"/>
  <c r="U100" i="1"/>
  <c r="T100" i="1"/>
  <c r="X100" i="1" s="1"/>
  <c r="AK99" i="1"/>
  <c r="W99" i="1"/>
  <c r="V99" i="1"/>
  <c r="U99" i="1"/>
  <c r="T99" i="1"/>
  <c r="AK98" i="1"/>
  <c r="W98" i="1"/>
  <c r="V98" i="1"/>
  <c r="U98" i="1"/>
  <c r="T98" i="1"/>
  <c r="AK97" i="1"/>
  <c r="W97" i="1"/>
  <c r="V97" i="1"/>
  <c r="U97" i="1"/>
  <c r="T97" i="1"/>
  <c r="X97" i="1" s="1"/>
  <c r="AK96" i="1"/>
  <c r="W96" i="1"/>
  <c r="V96" i="1"/>
  <c r="U96" i="1"/>
  <c r="T96" i="1"/>
  <c r="X96" i="1" s="1"/>
  <c r="AK95" i="1"/>
  <c r="W95" i="1"/>
  <c r="V95" i="1"/>
  <c r="U95" i="1"/>
  <c r="T95" i="1"/>
  <c r="AK94" i="1"/>
  <c r="W94" i="1"/>
  <c r="V94" i="1"/>
  <c r="U94" i="1"/>
  <c r="T94" i="1"/>
  <c r="X94" i="1" s="1"/>
  <c r="AN94" i="1" s="1"/>
  <c r="AK93" i="1"/>
  <c r="W93" i="1"/>
  <c r="V93" i="1"/>
  <c r="U93" i="1"/>
  <c r="T93" i="1"/>
  <c r="X93" i="1" s="1"/>
  <c r="AK92" i="1"/>
  <c r="W92" i="1"/>
  <c r="V92" i="1"/>
  <c r="U92" i="1"/>
  <c r="T92" i="1"/>
  <c r="X92" i="1" s="1"/>
  <c r="AN92" i="1" s="1"/>
  <c r="AO91" i="1"/>
  <c r="AL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S91" i="1"/>
  <c r="R91" i="1"/>
  <c r="Q91" i="1"/>
  <c r="P91" i="1"/>
  <c r="O91" i="1"/>
  <c r="N91" i="1"/>
  <c r="M91" i="1"/>
  <c r="L91" i="1"/>
  <c r="K91" i="1"/>
  <c r="J91" i="1"/>
  <c r="I91" i="1"/>
  <c r="H91" i="1"/>
  <c r="AK90" i="1"/>
  <c r="W90" i="1"/>
  <c r="V90" i="1"/>
  <c r="U90" i="1"/>
  <c r="T90" i="1"/>
  <c r="AK89" i="1"/>
  <c r="W89" i="1"/>
  <c r="V89" i="1"/>
  <c r="U89" i="1"/>
  <c r="T89" i="1"/>
  <c r="X89" i="1" s="1"/>
  <c r="AN89" i="1" s="1"/>
  <c r="AK88" i="1"/>
  <c r="W88" i="1"/>
  <c r="V88" i="1"/>
  <c r="U88" i="1"/>
  <c r="T88" i="1"/>
  <c r="X88" i="1" s="1"/>
  <c r="AK87" i="1"/>
  <c r="W87" i="1"/>
  <c r="V87" i="1"/>
  <c r="U87" i="1"/>
  <c r="T87" i="1"/>
  <c r="AN86" i="1"/>
  <c r="AK86" i="1"/>
  <c r="W86" i="1"/>
  <c r="V86" i="1"/>
  <c r="U86" i="1"/>
  <c r="T86" i="1"/>
  <c r="X86" i="1" s="1"/>
  <c r="AM86" i="1" s="1"/>
  <c r="AK85" i="1"/>
  <c r="W85" i="1"/>
  <c r="V85" i="1"/>
  <c r="U85" i="1"/>
  <c r="T85" i="1"/>
  <c r="X85" i="1" s="1"/>
  <c r="AK84" i="1"/>
  <c r="W84" i="1"/>
  <c r="V84" i="1"/>
  <c r="U84" i="1"/>
  <c r="T84" i="1"/>
  <c r="X84" i="1" s="1"/>
  <c r="AK83" i="1"/>
  <c r="W83" i="1"/>
  <c r="V83" i="1"/>
  <c r="U83" i="1"/>
  <c r="T83" i="1"/>
  <c r="X83" i="1" s="1"/>
  <c r="AK82" i="1"/>
  <c r="W82" i="1"/>
  <c r="V82" i="1"/>
  <c r="U82" i="1"/>
  <c r="T82" i="1"/>
  <c r="X82" i="1" s="1"/>
  <c r="AK81" i="1"/>
  <c r="W81" i="1"/>
  <c r="V81" i="1"/>
  <c r="U81" i="1"/>
  <c r="T81" i="1"/>
  <c r="X81" i="1" s="1"/>
  <c r="AK80" i="1"/>
  <c r="W80" i="1"/>
  <c r="V80" i="1"/>
  <c r="U80" i="1"/>
  <c r="T80" i="1"/>
  <c r="X80" i="1" s="1"/>
  <c r="AO79" i="1"/>
  <c r="AL79" i="1"/>
  <c r="AJ79" i="1"/>
  <c r="AI79" i="1"/>
  <c r="AH79" i="1"/>
  <c r="AG79" i="1"/>
  <c r="AF79" i="1"/>
  <c r="AF67" i="1" s="1"/>
  <c r="AE79" i="1"/>
  <c r="AD79" i="1"/>
  <c r="AC79" i="1"/>
  <c r="AB79" i="1"/>
  <c r="AA79" i="1"/>
  <c r="Z79" i="1"/>
  <c r="Y79" i="1"/>
  <c r="S79" i="1"/>
  <c r="R79" i="1"/>
  <c r="Q79" i="1"/>
  <c r="P79" i="1"/>
  <c r="O79" i="1"/>
  <c r="N79" i="1"/>
  <c r="M79" i="1"/>
  <c r="L79" i="1"/>
  <c r="K79" i="1"/>
  <c r="J79" i="1"/>
  <c r="I79" i="1"/>
  <c r="H79" i="1"/>
  <c r="AK78" i="1"/>
  <c r="W78" i="1"/>
  <c r="V78" i="1"/>
  <c r="U78" i="1"/>
  <c r="T78" i="1"/>
  <c r="AK77" i="1"/>
  <c r="W77" i="1"/>
  <c r="V77" i="1"/>
  <c r="U77" i="1"/>
  <c r="T77" i="1"/>
  <c r="AK76" i="1"/>
  <c r="W76" i="1"/>
  <c r="V76" i="1"/>
  <c r="U76" i="1"/>
  <c r="T76" i="1"/>
  <c r="X76" i="1" s="1"/>
  <c r="AK75" i="1"/>
  <c r="W75" i="1"/>
  <c r="V75" i="1"/>
  <c r="U75" i="1"/>
  <c r="T75" i="1"/>
  <c r="X75" i="1" s="1"/>
  <c r="AN75" i="1" s="1"/>
  <c r="AK74" i="1"/>
  <c r="W74" i="1"/>
  <c r="V74" i="1"/>
  <c r="U74" i="1"/>
  <c r="T74" i="1"/>
  <c r="AK73" i="1"/>
  <c r="W73" i="1"/>
  <c r="V73" i="1"/>
  <c r="U73" i="1"/>
  <c r="T73" i="1"/>
  <c r="X73" i="1" s="1"/>
  <c r="AK72" i="1"/>
  <c r="W72" i="1"/>
  <c r="V72" i="1"/>
  <c r="U72" i="1"/>
  <c r="T72" i="1"/>
  <c r="X72" i="1" s="1"/>
  <c r="AM72" i="1" s="1"/>
  <c r="AK71" i="1"/>
  <c r="W71" i="1"/>
  <c r="V71" i="1"/>
  <c r="U71" i="1"/>
  <c r="T71" i="1"/>
  <c r="AK70" i="1"/>
  <c r="W70" i="1"/>
  <c r="V70" i="1"/>
  <c r="U70" i="1"/>
  <c r="T70" i="1"/>
  <c r="AK69" i="1"/>
  <c r="AK68" i="1" s="1"/>
  <c r="W69" i="1"/>
  <c r="V69" i="1"/>
  <c r="U69" i="1"/>
  <c r="T69" i="1"/>
  <c r="AO68" i="1"/>
  <c r="AL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S68" i="1"/>
  <c r="R68" i="1"/>
  <c r="Q68" i="1"/>
  <c r="P68" i="1"/>
  <c r="P67" i="1" s="1"/>
  <c r="O68" i="1"/>
  <c r="N68" i="1"/>
  <c r="M68" i="1"/>
  <c r="L68" i="1"/>
  <c r="K68" i="1"/>
  <c r="J68" i="1"/>
  <c r="I68" i="1"/>
  <c r="H68" i="1"/>
  <c r="AK66" i="1"/>
  <c r="W66" i="1"/>
  <c r="V66" i="1"/>
  <c r="U66" i="1"/>
  <c r="T66" i="1"/>
  <c r="X66" i="1" s="1"/>
  <c r="AK65" i="1"/>
  <c r="W65" i="1"/>
  <c r="V65" i="1"/>
  <c r="U65" i="1"/>
  <c r="T65" i="1"/>
  <c r="X65" i="1" s="1"/>
  <c r="AK64" i="1"/>
  <c r="W64" i="1"/>
  <c r="V64" i="1"/>
  <c r="X64" i="1" s="1"/>
  <c r="U64" i="1"/>
  <c r="T64" i="1"/>
  <c r="AK63" i="1"/>
  <c r="W63" i="1"/>
  <c r="V63" i="1"/>
  <c r="U63" i="1"/>
  <c r="T63" i="1"/>
  <c r="X63" i="1" s="1"/>
  <c r="AN63" i="1" s="1"/>
  <c r="AK62" i="1"/>
  <c r="W62" i="1"/>
  <c r="V62" i="1"/>
  <c r="U62" i="1"/>
  <c r="T62" i="1"/>
  <c r="AK61" i="1"/>
  <c r="W61" i="1"/>
  <c r="V61" i="1"/>
  <c r="U61" i="1"/>
  <c r="T61" i="1"/>
  <c r="X61" i="1" s="1"/>
  <c r="AK60" i="1"/>
  <c r="W60" i="1"/>
  <c r="V60" i="1"/>
  <c r="U60" i="1"/>
  <c r="T60" i="1"/>
  <c r="AK59" i="1"/>
  <c r="W59" i="1"/>
  <c r="V59" i="1"/>
  <c r="U59" i="1"/>
  <c r="T59" i="1"/>
  <c r="X59" i="1" s="1"/>
  <c r="AN59" i="1" s="1"/>
  <c r="AK58" i="1"/>
  <c r="W58" i="1"/>
  <c r="V58" i="1"/>
  <c r="U58" i="1"/>
  <c r="T58" i="1"/>
  <c r="X58" i="1" s="1"/>
  <c r="AK57" i="1"/>
  <c r="W57" i="1"/>
  <c r="V57" i="1"/>
  <c r="U57" i="1"/>
  <c r="T57" i="1"/>
  <c r="X57" i="1" s="1"/>
  <c r="AN57" i="1" s="1"/>
  <c r="AK56" i="1"/>
  <c r="W56" i="1"/>
  <c r="V56" i="1"/>
  <c r="U56" i="1"/>
  <c r="T56" i="1"/>
  <c r="AK55" i="1"/>
  <c r="W55" i="1"/>
  <c r="V55" i="1"/>
  <c r="U55" i="1"/>
  <c r="T55" i="1"/>
  <c r="X55" i="1" s="1"/>
  <c r="AK54" i="1"/>
  <c r="W54" i="1"/>
  <c r="V54" i="1"/>
  <c r="U54" i="1"/>
  <c r="T54" i="1"/>
  <c r="X54" i="1" s="1"/>
  <c r="AO53" i="1"/>
  <c r="AL53" i="1"/>
  <c r="AJ53" i="1"/>
  <c r="AI53" i="1"/>
  <c r="AH53" i="1"/>
  <c r="AG53" i="1"/>
  <c r="AF53" i="1"/>
  <c r="AF42" i="1" s="1"/>
  <c r="AE53" i="1"/>
  <c r="AE42" i="1" s="1"/>
  <c r="AD53" i="1"/>
  <c r="AD42" i="1" s="1"/>
  <c r="AC53" i="1"/>
  <c r="AC42" i="1" s="1"/>
  <c r="AB53" i="1"/>
  <c r="AB42" i="1" s="1"/>
  <c r="AA53" i="1"/>
  <c r="Z53" i="1"/>
  <c r="Y53" i="1"/>
  <c r="S53" i="1"/>
  <c r="R53" i="1"/>
  <c r="Q53" i="1"/>
  <c r="P53" i="1"/>
  <c r="O53" i="1"/>
  <c r="N53" i="1"/>
  <c r="M53" i="1"/>
  <c r="L53" i="1"/>
  <c r="K53" i="1"/>
  <c r="J53" i="1"/>
  <c r="I53" i="1"/>
  <c r="H53" i="1"/>
  <c r="AK52" i="1"/>
  <c r="W52" i="1"/>
  <c r="V52" i="1"/>
  <c r="U52" i="1"/>
  <c r="T52" i="1"/>
  <c r="AK51" i="1"/>
  <c r="W51" i="1"/>
  <c r="X51" i="1" s="1"/>
  <c r="V51" i="1"/>
  <c r="U51" i="1"/>
  <c r="T51" i="1"/>
  <c r="AK50" i="1"/>
  <c r="W50" i="1"/>
  <c r="V50" i="1"/>
  <c r="U50" i="1"/>
  <c r="T50" i="1"/>
  <c r="AK49" i="1"/>
  <c r="W49" i="1"/>
  <c r="V49" i="1"/>
  <c r="U49" i="1"/>
  <c r="T49" i="1"/>
  <c r="X49" i="1" s="1"/>
  <c r="AN49" i="1" s="1"/>
  <c r="AK48" i="1"/>
  <c r="W48" i="1"/>
  <c r="V48" i="1"/>
  <c r="U48" i="1"/>
  <c r="T48" i="1"/>
  <c r="AK47" i="1"/>
  <c r="W47" i="1"/>
  <c r="V47" i="1"/>
  <c r="U47" i="1"/>
  <c r="T47" i="1"/>
  <c r="AK46" i="1"/>
  <c r="W46" i="1"/>
  <c r="V46" i="1"/>
  <c r="U46" i="1"/>
  <c r="T46" i="1"/>
  <c r="AK45" i="1"/>
  <c r="W45" i="1"/>
  <c r="V45" i="1"/>
  <c r="U45" i="1"/>
  <c r="T45" i="1"/>
  <c r="X45" i="1" s="1"/>
  <c r="AN45" i="1" s="1"/>
  <c r="AK44" i="1"/>
  <c r="W44" i="1"/>
  <c r="V44" i="1"/>
  <c r="U44" i="1"/>
  <c r="T44" i="1"/>
  <c r="X44" i="1" s="1"/>
  <c r="AO43" i="1"/>
  <c r="AO42" i="1" s="1"/>
  <c r="AL43" i="1"/>
  <c r="AL42" i="1" s="1"/>
  <c r="AJ43" i="1"/>
  <c r="AJ42" i="1" s="1"/>
  <c r="AI43" i="1"/>
  <c r="AH43" i="1"/>
  <c r="AH42" i="1" s="1"/>
  <c r="AG43" i="1"/>
  <c r="AG42" i="1" s="1"/>
  <c r="AF43" i="1"/>
  <c r="AE43" i="1"/>
  <c r="AD43" i="1"/>
  <c r="AC43" i="1"/>
  <c r="AB43" i="1"/>
  <c r="AA43" i="1"/>
  <c r="Z43" i="1"/>
  <c r="Y43" i="1"/>
  <c r="S43" i="1"/>
  <c r="S42" i="1" s="1"/>
  <c r="R43" i="1"/>
  <c r="R42" i="1" s="1"/>
  <c r="Q43" i="1"/>
  <c r="Q42" i="1" s="1"/>
  <c r="P43" i="1"/>
  <c r="P42" i="1" s="1"/>
  <c r="O43" i="1"/>
  <c r="O42" i="1" s="1"/>
  <c r="N43" i="1"/>
  <c r="N42" i="1" s="1"/>
  <c r="M43" i="1"/>
  <c r="M42" i="1" s="1"/>
  <c r="L43" i="1"/>
  <c r="L42" i="1" s="1"/>
  <c r="K43" i="1"/>
  <c r="J43" i="1"/>
  <c r="I43" i="1"/>
  <c r="H43" i="1"/>
  <c r="AI42" i="1"/>
  <c r="AK41" i="1"/>
  <c r="W41" i="1"/>
  <c r="V41" i="1"/>
  <c r="U41" i="1"/>
  <c r="T41" i="1"/>
  <c r="X41" i="1" s="1"/>
  <c r="AK40" i="1"/>
  <c r="W40" i="1"/>
  <c r="V40" i="1"/>
  <c r="U40" i="1"/>
  <c r="T40" i="1"/>
  <c r="X40" i="1" s="1"/>
  <c r="AK39" i="1"/>
  <c r="W39" i="1"/>
  <c r="V39" i="1"/>
  <c r="U39" i="1"/>
  <c r="T39" i="1"/>
  <c r="X39" i="1" s="1"/>
  <c r="AK38" i="1"/>
  <c r="W38" i="1"/>
  <c r="V38" i="1"/>
  <c r="U38" i="1"/>
  <c r="T38" i="1"/>
  <c r="AK37" i="1"/>
  <c r="W37" i="1"/>
  <c r="V37" i="1"/>
  <c r="U37" i="1"/>
  <c r="T37" i="1"/>
  <c r="X37" i="1" s="1"/>
  <c r="AM37" i="1" s="1"/>
  <c r="AK36" i="1"/>
  <c r="W36" i="1"/>
  <c r="V36" i="1"/>
  <c r="U36" i="1"/>
  <c r="T36" i="1"/>
  <c r="X36" i="1" s="1"/>
  <c r="AK35" i="1"/>
  <c r="W35" i="1"/>
  <c r="V35" i="1"/>
  <c r="U35" i="1"/>
  <c r="T35" i="1"/>
  <c r="AK34" i="1"/>
  <c r="W34" i="1"/>
  <c r="V34" i="1"/>
  <c r="U34" i="1"/>
  <c r="T34" i="1"/>
  <c r="AK33" i="1"/>
  <c r="W33" i="1"/>
  <c r="V33" i="1"/>
  <c r="U33" i="1"/>
  <c r="T33" i="1"/>
  <c r="X33" i="1" s="1"/>
  <c r="AM33" i="1" s="1"/>
  <c r="AK32" i="1"/>
  <c r="W32" i="1"/>
  <c r="V32" i="1"/>
  <c r="U32" i="1"/>
  <c r="T32" i="1"/>
  <c r="AO31" i="1"/>
  <c r="AL31" i="1"/>
  <c r="AJ31" i="1"/>
  <c r="AI31" i="1"/>
  <c r="AH31" i="1"/>
  <c r="AH6" i="1" s="1"/>
  <c r="AG31" i="1"/>
  <c r="AG6" i="1" s="1"/>
  <c r="AF31" i="1"/>
  <c r="AF6" i="1" s="1"/>
  <c r="AE31" i="1"/>
  <c r="AD31" i="1"/>
  <c r="AC31" i="1"/>
  <c r="AB31" i="1"/>
  <c r="AA31" i="1"/>
  <c r="Z31" i="1"/>
  <c r="Y31" i="1"/>
  <c r="S31" i="1"/>
  <c r="R31" i="1"/>
  <c r="Q31" i="1"/>
  <c r="P31" i="1"/>
  <c r="O31" i="1"/>
  <c r="N31" i="1"/>
  <c r="M31" i="1"/>
  <c r="L31" i="1"/>
  <c r="K31" i="1"/>
  <c r="J31" i="1"/>
  <c r="I31" i="1"/>
  <c r="H31" i="1"/>
  <c r="H6" i="1" s="1"/>
  <c r="AK30" i="1"/>
  <c r="W30" i="1"/>
  <c r="V30" i="1"/>
  <c r="U30" i="1"/>
  <c r="T30" i="1"/>
  <c r="X30" i="1" s="1"/>
  <c r="AK29" i="1"/>
  <c r="W29" i="1"/>
  <c r="V29" i="1"/>
  <c r="U29" i="1"/>
  <c r="T29" i="1"/>
  <c r="X29" i="1" s="1"/>
  <c r="AK28" i="1"/>
  <c r="W28" i="1"/>
  <c r="V28" i="1"/>
  <c r="U28" i="1"/>
  <c r="T28" i="1"/>
  <c r="X28" i="1" s="1"/>
  <c r="AK27" i="1"/>
  <c r="W27" i="1"/>
  <c r="V27" i="1"/>
  <c r="U27" i="1"/>
  <c r="T27" i="1"/>
  <c r="X27" i="1" s="1"/>
  <c r="AN27" i="1" s="1"/>
  <c r="AK26" i="1"/>
  <c r="W26" i="1"/>
  <c r="V26" i="1"/>
  <c r="U26" i="1"/>
  <c r="T26" i="1"/>
  <c r="X26" i="1" s="1"/>
  <c r="AK25" i="1"/>
  <c r="W25" i="1"/>
  <c r="V25" i="1"/>
  <c r="U25" i="1"/>
  <c r="T25" i="1"/>
  <c r="AK24" i="1"/>
  <c r="W24" i="1"/>
  <c r="V24" i="1"/>
  <c r="U24" i="1"/>
  <c r="T24" i="1"/>
  <c r="X24" i="1" s="1"/>
  <c r="AK23" i="1"/>
  <c r="W23" i="1"/>
  <c r="V23" i="1"/>
  <c r="U23" i="1"/>
  <c r="T23" i="1"/>
  <c r="AK22" i="1"/>
  <c r="W22" i="1"/>
  <c r="V22" i="1"/>
  <c r="U22" i="1"/>
  <c r="T22" i="1"/>
  <c r="AO21" i="1"/>
  <c r="AO6" i="1" s="1"/>
  <c r="AL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S21" i="1"/>
  <c r="R21" i="1"/>
  <c r="Q21" i="1"/>
  <c r="P21" i="1"/>
  <c r="O21" i="1"/>
  <c r="N21" i="1"/>
  <c r="M21" i="1"/>
  <c r="L21" i="1"/>
  <c r="K21" i="1"/>
  <c r="J21" i="1"/>
  <c r="I21" i="1"/>
  <c r="H21" i="1"/>
  <c r="AK20" i="1"/>
  <c r="W20" i="1"/>
  <c r="V20" i="1"/>
  <c r="U20" i="1"/>
  <c r="T20" i="1"/>
  <c r="X20" i="1" s="1"/>
  <c r="AK19" i="1"/>
  <c r="W19" i="1"/>
  <c r="V19" i="1"/>
  <c r="U19" i="1"/>
  <c r="T19" i="1"/>
  <c r="AK18" i="1"/>
  <c r="W18" i="1"/>
  <c r="V18" i="1"/>
  <c r="U18" i="1"/>
  <c r="T18" i="1"/>
  <c r="X18" i="1" s="1"/>
  <c r="AN18" i="1" s="1"/>
  <c r="AK17" i="1"/>
  <c r="W17" i="1"/>
  <c r="V17" i="1"/>
  <c r="U17" i="1"/>
  <c r="T17" i="1"/>
  <c r="AK16" i="1"/>
  <c r="W16" i="1"/>
  <c r="V16" i="1"/>
  <c r="U16" i="1"/>
  <c r="T16" i="1"/>
  <c r="X16" i="1" s="1"/>
  <c r="AK15" i="1"/>
  <c r="W15" i="1"/>
  <c r="V15" i="1"/>
  <c r="U15" i="1"/>
  <c r="T15" i="1"/>
  <c r="X15" i="1" s="1"/>
  <c r="AN15" i="1" s="1"/>
  <c r="AK14" i="1"/>
  <c r="W14" i="1"/>
  <c r="V14" i="1"/>
  <c r="U14" i="1"/>
  <c r="T14" i="1"/>
  <c r="X14" i="1" s="1"/>
  <c r="AK13" i="1"/>
  <c r="W13" i="1"/>
  <c r="V13" i="1"/>
  <c r="U13" i="1"/>
  <c r="T13" i="1"/>
  <c r="X13" i="1" s="1"/>
  <c r="AK12" i="1"/>
  <c r="W12" i="1"/>
  <c r="V12" i="1"/>
  <c r="U12" i="1"/>
  <c r="T12" i="1"/>
  <c r="X12" i="1" s="1"/>
  <c r="AK11" i="1"/>
  <c r="W11" i="1"/>
  <c r="V11" i="1"/>
  <c r="U11" i="1"/>
  <c r="T11" i="1"/>
  <c r="X11" i="1" s="1"/>
  <c r="AN11" i="1" s="1"/>
  <c r="AK10" i="1"/>
  <c r="W10" i="1"/>
  <c r="V10" i="1"/>
  <c r="U10" i="1"/>
  <c r="T10" i="1"/>
  <c r="AK9" i="1"/>
  <c r="W9" i="1"/>
  <c r="V9" i="1"/>
  <c r="U9" i="1"/>
  <c r="T9" i="1"/>
  <c r="AK8" i="1"/>
  <c r="W8" i="1"/>
  <c r="V8" i="1"/>
  <c r="U8" i="1"/>
  <c r="T8" i="1"/>
  <c r="AO7" i="1"/>
  <c r="AL7" i="1"/>
  <c r="AJ7" i="1"/>
  <c r="AI7" i="1"/>
  <c r="AH7" i="1"/>
  <c r="AG7" i="1"/>
  <c r="AF7" i="1"/>
  <c r="AE7" i="1"/>
  <c r="AD7" i="1"/>
  <c r="AC7" i="1"/>
  <c r="AC6" i="1" s="1"/>
  <c r="AB7" i="1"/>
  <c r="AB6" i="1" s="1"/>
  <c r="AA7" i="1"/>
  <c r="AA6" i="1" s="1"/>
  <c r="Z7" i="1"/>
  <c r="Z6" i="1" s="1"/>
  <c r="Y7" i="1"/>
  <c r="Y6" i="1" s="1"/>
  <c r="S7" i="1"/>
  <c r="R7" i="1"/>
  <c r="Q7" i="1"/>
  <c r="P7" i="1"/>
  <c r="O7" i="1"/>
  <c r="N7" i="1"/>
  <c r="M7" i="1"/>
  <c r="L7" i="1"/>
  <c r="K7" i="1"/>
  <c r="J7" i="1"/>
  <c r="I7" i="1"/>
  <c r="H7" i="1"/>
  <c r="X165" i="1" l="1"/>
  <c r="X35" i="1"/>
  <c r="X17" i="1"/>
  <c r="X22" i="1"/>
  <c r="X95" i="1"/>
  <c r="AN95" i="1" s="1"/>
  <c r="AM83" i="1"/>
  <c r="AN83" i="1"/>
  <c r="X74" i="1"/>
  <c r="AN74" i="1" s="1"/>
  <c r="U91" i="1"/>
  <c r="X70" i="1"/>
  <c r="AN141" i="1"/>
  <c r="AM141" i="1"/>
  <c r="AD102" i="1"/>
  <c r="X120" i="1"/>
  <c r="AM120" i="1" s="1"/>
  <c r="X107" i="1"/>
  <c r="AK31" i="1"/>
  <c r="AN100" i="1"/>
  <c r="AM100" i="1"/>
  <c r="AD6" i="1"/>
  <c r="AD169" i="1" s="1"/>
  <c r="H67" i="1"/>
  <c r="X145" i="1"/>
  <c r="AN145" i="1" s="1"/>
  <c r="AE6" i="1"/>
  <c r="AE169" i="1" s="1"/>
  <c r="AL67" i="1"/>
  <c r="X52" i="1"/>
  <c r="X48" i="1"/>
  <c r="AM48" i="1" s="1"/>
  <c r="X10" i="1"/>
  <c r="U79" i="1"/>
  <c r="J42" i="1"/>
  <c r="X157" i="1"/>
  <c r="AN157" i="1" s="1"/>
  <c r="M6" i="1"/>
  <c r="K42" i="1"/>
  <c r="V161" i="1"/>
  <c r="O6" i="1"/>
  <c r="X62" i="1"/>
  <c r="AN62" i="1" s="1"/>
  <c r="Q67" i="1"/>
  <c r="X101" i="1"/>
  <c r="AM101" i="1" s="1"/>
  <c r="W103" i="1"/>
  <c r="AD150" i="1"/>
  <c r="AH67" i="1"/>
  <c r="AH169" i="1" s="1"/>
  <c r="Y67" i="1"/>
  <c r="AI67" i="1"/>
  <c r="AI169" i="1" s="1"/>
  <c r="U125" i="1"/>
  <c r="AF150" i="1"/>
  <c r="AF169" i="1" s="1"/>
  <c r="Q150" i="1"/>
  <c r="AM15" i="1"/>
  <c r="I67" i="1"/>
  <c r="U43" i="1"/>
  <c r="AJ124" i="1"/>
  <c r="X147" i="1"/>
  <c r="AH150" i="1"/>
  <c r="K67" i="1"/>
  <c r="X77" i="1"/>
  <c r="X98" i="1"/>
  <c r="AK21" i="1"/>
  <c r="W43" i="1"/>
  <c r="L67" i="1"/>
  <c r="I150" i="1"/>
  <c r="X25" i="1"/>
  <c r="AN25" i="1" s="1"/>
  <c r="AK43" i="1"/>
  <c r="M67" i="1"/>
  <c r="X69" i="1"/>
  <c r="X90" i="1"/>
  <c r="AN90" i="1" s="1"/>
  <c r="T103" i="1"/>
  <c r="X140" i="1"/>
  <c r="AN140" i="1" s="1"/>
  <c r="J150" i="1"/>
  <c r="X164" i="1"/>
  <c r="AN164" i="1" s="1"/>
  <c r="X168" i="1"/>
  <c r="X34" i="1"/>
  <c r="X38" i="1"/>
  <c r="X47" i="1"/>
  <c r="AN47" i="1" s="1"/>
  <c r="Z42" i="1"/>
  <c r="X60" i="1"/>
  <c r="N67" i="1"/>
  <c r="U68" i="1"/>
  <c r="U67" i="1" s="1"/>
  <c r="X78" i="1"/>
  <c r="AN78" i="1" s="1"/>
  <c r="AD67" i="1"/>
  <c r="X99" i="1"/>
  <c r="AN99" i="1" s="1"/>
  <c r="U103" i="1"/>
  <c r="U102" i="1" s="1"/>
  <c r="X115" i="1"/>
  <c r="AN115" i="1" s="1"/>
  <c r="X136" i="1"/>
  <c r="M124" i="1"/>
  <c r="X148" i="1"/>
  <c r="AN148" i="1" s="1"/>
  <c r="I6" i="1"/>
  <c r="J6" i="1"/>
  <c r="H42" i="1"/>
  <c r="H169" i="1" s="1"/>
  <c r="AK139" i="1"/>
  <c r="K6" i="1"/>
  <c r="K169" i="1" s="1"/>
  <c r="I42" i="1"/>
  <c r="X71" i="1"/>
  <c r="AM71" i="1" s="1"/>
  <c r="X121" i="1"/>
  <c r="L6" i="1"/>
  <c r="X117" i="1"/>
  <c r="N6" i="1"/>
  <c r="V31" i="1"/>
  <c r="AG67" i="1"/>
  <c r="W161" i="1"/>
  <c r="W31" i="1"/>
  <c r="R67" i="1"/>
  <c r="AE150" i="1"/>
  <c r="W53" i="1"/>
  <c r="S67" i="1"/>
  <c r="Z67" i="1"/>
  <c r="AI6" i="1"/>
  <c r="AK53" i="1"/>
  <c r="AJ67" i="1"/>
  <c r="AI124" i="1"/>
  <c r="AG150" i="1"/>
  <c r="X158" i="1"/>
  <c r="AM158" i="1" s="1"/>
  <c r="R150" i="1"/>
  <c r="J67" i="1"/>
  <c r="AK79" i="1"/>
  <c r="X105" i="1"/>
  <c r="AN105" i="1" s="1"/>
  <c r="V43" i="1"/>
  <c r="AA67" i="1"/>
  <c r="AL124" i="1"/>
  <c r="H150" i="1"/>
  <c r="AI150" i="1"/>
  <c r="AO67" i="1"/>
  <c r="AO169" i="1" s="1"/>
  <c r="X123" i="1"/>
  <c r="X131" i="1"/>
  <c r="X125" i="1" s="1"/>
  <c r="AM125" i="1" s="1"/>
  <c r="X8" i="1"/>
  <c r="AM8" i="1" s="1"/>
  <c r="Y42" i="1"/>
  <c r="Y169" i="1" s="1"/>
  <c r="AA42" i="1"/>
  <c r="AA169" i="1" s="1"/>
  <c r="X56" i="1"/>
  <c r="AN56" i="1" s="1"/>
  <c r="O67" i="1"/>
  <c r="V68" i="1"/>
  <c r="AE67" i="1"/>
  <c r="AB102" i="1"/>
  <c r="Y124" i="1"/>
  <c r="X132" i="1"/>
  <c r="AN132" i="1" s="1"/>
  <c r="X152" i="1"/>
  <c r="AN13" i="1"/>
  <c r="AM13" i="1"/>
  <c r="AM74" i="1"/>
  <c r="AN156" i="1"/>
  <c r="AM156" i="1"/>
  <c r="AN165" i="1"/>
  <c r="AM165" i="1"/>
  <c r="AN52" i="1"/>
  <c r="AM52" i="1"/>
  <c r="AN107" i="1"/>
  <c r="AM107" i="1"/>
  <c r="AN61" i="1"/>
  <c r="AM61" i="1"/>
  <c r="AN153" i="1"/>
  <c r="AM153" i="1"/>
  <c r="AN71" i="1"/>
  <c r="AN117" i="1"/>
  <c r="AM117" i="1"/>
  <c r="AN28" i="1"/>
  <c r="AM28" i="1"/>
  <c r="AN114" i="1"/>
  <c r="AM114" i="1"/>
  <c r="AN16" i="1"/>
  <c r="AM16" i="1"/>
  <c r="AN77" i="1"/>
  <c r="AM77" i="1"/>
  <c r="AN98" i="1"/>
  <c r="AM98" i="1"/>
  <c r="AN159" i="1"/>
  <c r="AM159" i="1"/>
  <c r="AN123" i="1"/>
  <c r="AM123" i="1"/>
  <c r="U42" i="1"/>
  <c r="AN64" i="1"/>
  <c r="AM64" i="1"/>
  <c r="AK67" i="1"/>
  <c r="AN133" i="1"/>
  <c r="AM133" i="1"/>
  <c r="AN154" i="1"/>
  <c r="AM154" i="1"/>
  <c r="AN20" i="1"/>
  <c r="AM20" i="1"/>
  <c r="AN40" i="1"/>
  <c r="AM40" i="1"/>
  <c r="V42" i="1"/>
  <c r="AM49" i="1"/>
  <c r="AN76" i="1"/>
  <c r="AM76" i="1"/>
  <c r="AN36" i="1"/>
  <c r="AM36" i="1"/>
  <c r="AM126" i="1"/>
  <c r="AN134" i="1"/>
  <c r="AM134" i="1"/>
  <c r="AN138" i="1"/>
  <c r="AM138" i="1"/>
  <c r="X46" i="1"/>
  <c r="AN65" i="1"/>
  <c r="AM65" i="1"/>
  <c r="AM80" i="1"/>
  <c r="AN84" i="1"/>
  <c r="AM84" i="1"/>
  <c r="AN88" i="1"/>
  <c r="AM88" i="1"/>
  <c r="AM57" i="1"/>
  <c r="AN108" i="1"/>
  <c r="AM108" i="1"/>
  <c r="V125" i="1"/>
  <c r="U53" i="1"/>
  <c r="AN73" i="1"/>
  <c r="AM73" i="1"/>
  <c r="W125" i="1"/>
  <c r="U139" i="1"/>
  <c r="X149" i="1"/>
  <c r="T139" i="1"/>
  <c r="U7" i="1"/>
  <c r="AN24" i="1"/>
  <c r="AM24" i="1"/>
  <c r="AN41" i="1"/>
  <c r="AM41" i="1"/>
  <c r="V53" i="1"/>
  <c r="AN58" i="1"/>
  <c r="AM58" i="1"/>
  <c r="X104" i="1"/>
  <c r="V139" i="1"/>
  <c r="V7" i="1"/>
  <c r="AN17" i="1"/>
  <c r="AM17" i="1"/>
  <c r="AK103" i="1"/>
  <c r="AN126" i="1"/>
  <c r="AM130" i="1"/>
  <c r="AN135" i="1"/>
  <c r="AM135" i="1"/>
  <c r="W139" i="1"/>
  <c r="W7" i="1"/>
  <c r="AN66" i="1"/>
  <c r="AM66" i="1"/>
  <c r="AN80" i="1"/>
  <c r="AN85" i="1"/>
  <c r="AM85" i="1"/>
  <c r="X142" i="1"/>
  <c r="X162" i="1"/>
  <c r="AN14" i="1"/>
  <c r="AM14" i="1"/>
  <c r="AM54" i="1"/>
  <c r="T79" i="1"/>
  <c r="AN81" i="1"/>
  <c r="AM81" i="1"/>
  <c r="AN109" i="1"/>
  <c r="AM109" i="1"/>
  <c r="AK161" i="1"/>
  <c r="AM29" i="1"/>
  <c r="AN29" i="1"/>
  <c r="AN54" i="1"/>
  <c r="AM62" i="1"/>
  <c r="AN70" i="1"/>
  <c r="AM70" i="1"/>
  <c r="AN96" i="1"/>
  <c r="AM96" i="1"/>
  <c r="AN131" i="1"/>
  <c r="AM131" i="1"/>
  <c r="Z169" i="1"/>
  <c r="AN10" i="1"/>
  <c r="AM10" i="1"/>
  <c r="W21" i="1"/>
  <c r="AN44" i="1"/>
  <c r="AM44" i="1"/>
  <c r="AN51" i="1"/>
  <c r="AM51" i="1"/>
  <c r="AN55" i="1"/>
  <c r="AM55" i="1"/>
  <c r="T91" i="1"/>
  <c r="AK91" i="1"/>
  <c r="AN37" i="1"/>
  <c r="AM92" i="1"/>
  <c r="AN143" i="1"/>
  <c r="AM143" i="1"/>
  <c r="AN33" i="1"/>
  <c r="X91" i="1"/>
  <c r="AN91" i="1" s="1"/>
  <c r="AN127" i="1"/>
  <c r="AK7" i="1"/>
  <c r="AK6" i="1" s="1"/>
  <c r="AN34" i="1"/>
  <c r="AM34" i="1"/>
  <c r="AN82" i="1"/>
  <c r="AM82" i="1"/>
  <c r="AM89" i="1"/>
  <c r="AN93" i="1"/>
  <c r="AM93" i="1"/>
  <c r="AN121" i="1"/>
  <c r="AM121" i="1"/>
  <c r="AN128" i="1"/>
  <c r="AM128" i="1"/>
  <c r="AN160" i="1"/>
  <c r="AM160" i="1"/>
  <c r="AN30" i="1"/>
  <c r="AM30" i="1"/>
  <c r="U31" i="1"/>
  <c r="AN38" i="1"/>
  <c r="AM38" i="1"/>
  <c r="T43" i="1"/>
  <c r="AN48" i="1"/>
  <c r="AM18" i="1"/>
  <c r="AN22" i="1"/>
  <c r="AM22" i="1"/>
  <c r="T112" i="1"/>
  <c r="V103" i="1"/>
  <c r="AN118" i="1"/>
  <c r="AM118" i="1"/>
  <c r="AN147" i="1"/>
  <c r="AM147" i="1"/>
  <c r="X19" i="1"/>
  <c r="V21" i="1"/>
  <c r="AG169" i="1"/>
  <c r="AN39" i="1"/>
  <c r="AM39" i="1"/>
  <c r="AM63" i="1"/>
  <c r="AN168" i="1"/>
  <c r="AM168" i="1"/>
  <c r="AJ6" i="1"/>
  <c r="AK112" i="1"/>
  <c r="AN129" i="1"/>
  <c r="AM129" i="1"/>
  <c r="X137" i="1"/>
  <c r="AN35" i="1"/>
  <c r="AM35" i="1"/>
  <c r="X87" i="1"/>
  <c r="X50" i="1"/>
  <c r="AN146" i="1"/>
  <c r="AM146" i="1"/>
  <c r="AN69" i="1"/>
  <c r="AM69" i="1"/>
  <c r="X68" i="1"/>
  <c r="V79" i="1"/>
  <c r="V91" i="1"/>
  <c r="W79" i="1"/>
  <c r="W91" i="1"/>
  <c r="AM111" i="1"/>
  <c r="T161" i="1"/>
  <c r="X163" i="1"/>
  <c r="AN26" i="1"/>
  <c r="AM26" i="1"/>
  <c r="AM105" i="1"/>
  <c r="P6" i="1"/>
  <c r="P169" i="1" s="1"/>
  <c r="AL6" i="1"/>
  <c r="T68" i="1"/>
  <c r="W68" i="1"/>
  <c r="N124" i="1"/>
  <c r="N169" i="1" s="1"/>
  <c r="Q6" i="1"/>
  <c r="AN72" i="1"/>
  <c r="AM75" i="1"/>
  <c r="AN166" i="1"/>
  <c r="R6" i="1"/>
  <c r="T21" i="1"/>
  <c r="X23" i="1"/>
  <c r="AM115" i="1"/>
  <c r="S6" i="1"/>
  <c r="U21" i="1"/>
  <c r="AM59" i="1"/>
  <c r="AO124" i="1"/>
  <c r="T7" i="1"/>
  <c r="R124" i="1"/>
  <c r="X106" i="1"/>
  <c r="S124" i="1"/>
  <c r="AM11" i="1"/>
  <c r="AB67" i="1"/>
  <c r="AN113" i="1"/>
  <c r="AM113" i="1"/>
  <c r="X112" i="1"/>
  <c r="AN112" i="1" s="1"/>
  <c r="T125" i="1"/>
  <c r="T53" i="1"/>
  <c r="AC67" i="1"/>
  <c r="AC169" i="1" s="1"/>
  <c r="AN97" i="1"/>
  <c r="AM97" i="1"/>
  <c r="U112" i="1"/>
  <c r="U151" i="1"/>
  <c r="U150" i="1" s="1"/>
  <c r="AM167" i="1"/>
  <c r="AN12" i="1"/>
  <c r="AM12" i="1"/>
  <c r="AM45" i="1"/>
  <c r="AM94" i="1"/>
  <c r="X110" i="1"/>
  <c r="V112" i="1"/>
  <c r="AM122" i="1"/>
  <c r="AM144" i="1"/>
  <c r="V151" i="1"/>
  <c r="AM27" i="1"/>
  <c r="W112" i="1"/>
  <c r="AN116" i="1"/>
  <c r="AM119" i="1"/>
  <c r="AK125" i="1"/>
  <c r="W151" i="1"/>
  <c r="W150" i="1" s="1"/>
  <c r="X9" i="1"/>
  <c r="U161" i="1"/>
  <c r="T151" i="1"/>
  <c r="T150" i="1" s="1"/>
  <c r="X32" i="1"/>
  <c r="T31" i="1"/>
  <c r="AK151" i="1"/>
  <c r="AN152" i="1" l="1"/>
  <c r="AM152" i="1"/>
  <c r="V67" i="1"/>
  <c r="AM132" i="1"/>
  <c r="R169" i="1"/>
  <c r="AM145" i="1"/>
  <c r="J169" i="1"/>
  <c r="I169" i="1"/>
  <c r="AM140" i="1"/>
  <c r="AN136" i="1"/>
  <c r="AM136" i="1"/>
  <c r="W102" i="1"/>
  <c r="O169" i="1"/>
  <c r="U6" i="1"/>
  <c r="U169" i="1" s="1"/>
  <c r="T102" i="1"/>
  <c r="AN101" i="1"/>
  <c r="M169" i="1"/>
  <c r="U124" i="1"/>
  <c r="AN8" i="1"/>
  <c r="W124" i="1"/>
  <c r="AM157" i="1"/>
  <c r="X53" i="1"/>
  <c r="AN53" i="1" s="1"/>
  <c r="AM60" i="1"/>
  <c r="AN60" i="1"/>
  <c r="AK102" i="1"/>
  <c r="AM164" i="1"/>
  <c r="AM99" i="1"/>
  <c r="AM148" i="1"/>
  <c r="AN120" i="1"/>
  <c r="AM78" i="1"/>
  <c r="AM95" i="1"/>
  <c r="L169" i="1"/>
  <c r="AM56" i="1"/>
  <c r="AM90" i="1"/>
  <c r="AM47" i="1"/>
  <c r="AM25" i="1"/>
  <c r="AK42" i="1"/>
  <c r="AK169" i="1" s="1"/>
  <c r="AK124" i="1"/>
  <c r="Q169" i="1"/>
  <c r="AB169" i="1"/>
  <c r="AN158" i="1"/>
  <c r="W42" i="1"/>
  <c r="V150" i="1"/>
  <c r="AJ169" i="1"/>
  <c r="V124" i="1"/>
  <c r="X151" i="1"/>
  <c r="AM151" i="1" s="1"/>
  <c r="AN46" i="1"/>
  <c r="AM46" i="1"/>
  <c r="AN23" i="1"/>
  <c r="AM23" i="1"/>
  <c r="T42" i="1"/>
  <c r="AN149" i="1"/>
  <c r="AM149" i="1"/>
  <c r="T124" i="1"/>
  <c r="AN68" i="1"/>
  <c r="X43" i="1"/>
  <c r="AN19" i="1"/>
  <c r="AM19" i="1"/>
  <c r="X124" i="1"/>
  <c r="AN125" i="1"/>
  <c r="AN50" i="1"/>
  <c r="AM50" i="1"/>
  <c r="X7" i="1"/>
  <c r="AN87" i="1"/>
  <c r="AM87" i="1"/>
  <c r="AN110" i="1"/>
  <c r="AM110" i="1"/>
  <c r="AN106" i="1"/>
  <c r="AM106" i="1"/>
  <c r="X139" i="1"/>
  <c r="AN162" i="1"/>
  <c r="AM162" i="1"/>
  <c r="X161" i="1"/>
  <c r="W67" i="1"/>
  <c r="V102" i="1"/>
  <c r="AN142" i="1"/>
  <c r="AM142" i="1"/>
  <c r="V6" i="1"/>
  <c r="T67" i="1"/>
  <c r="AN137" i="1"/>
  <c r="AM137" i="1"/>
  <c r="AM112" i="1"/>
  <c r="AL169" i="1"/>
  <c r="AN104" i="1"/>
  <c r="X103" i="1"/>
  <c r="AM104" i="1"/>
  <c r="AM68" i="1"/>
  <c r="T6" i="1"/>
  <c r="X21" i="1"/>
  <c r="AK150" i="1"/>
  <c r="X31" i="1"/>
  <c r="AN32" i="1"/>
  <c r="AM32" i="1"/>
  <c r="AM163" i="1"/>
  <c r="AN163" i="1"/>
  <c r="W6" i="1"/>
  <c r="X79" i="1"/>
  <c r="AN151" i="1"/>
  <c r="X150" i="1"/>
  <c r="AN9" i="1"/>
  <c r="AM9" i="1"/>
  <c r="AM91" i="1"/>
  <c r="S169" i="1"/>
  <c r="V169" i="1" l="1"/>
  <c r="W169" i="1"/>
  <c r="AM53" i="1"/>
  <c r="AN103" i="1"/>
  <c r="X102" i="1"/>
  <c r="AM103" i="1"/>
  <c r="AN7" i="1"/>
  <c r="X6" i="1"/>
  <c r="AM7" i="1"/>
  <c r="AN124" i="1"/>
  <c r="AM124" i="1"/>
  <c r="AN150" i="1"/>
  <c r="AM150" i="1"/>
  <c r="AN79" i="1"/>
  <c r="AM79" i="1"/>
  <c r="X42" i="1"/>
  <c r="AN43" i="1"/>
  <c r="AM43" i="1"/>
  <c r="X67" i="1"/>
  <c r="AN161" i="1"/>
  <c r="AM161" i="1"/>
  <c r="AN31" i="1"/>
  <c r="AM31" i="1"/>
  <c r="AN21" i="1"/>
  <c r="AM21" i="1"/>
  <c r="AN139" i="1"/>
  <c r="AM139" i="1"/>
  <c r="T169" i="1"/>
  <c r="AN67" i="1" l="1"/>
  <c r="AM67" i="1"/>
  <c r="AN42" i="1"/>
  <c r="AM42" i="1"/>
  <c r="X169" i="1"/>
  <c r="AN6" i="1"/>
  <c r="AM6" i="1"/>
  <c r="AN102" i="1"/>
  <c r="AM102" i="1"/>
  <c r="AN169" i="1" l="1"/>
  <c r="AM16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PrintProof AI demo</author>
  </authors>
  <commentList>
    <comment ref="AL1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Forecast includes the approved change order.</t>
        </r>
      </text>
    </comment>
    <comment ref="AL4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Forecast includes the approved change order.</t>
        </r>
      </text>
    </comment>
    <comment ref="AL6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Forecast includes the approved change order.</t>
        </r>
      </text>
    </comment>
    <comment ref="AL8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Forecast includes the approved change order.</t>
        </r>
      </text>
    </comment>
  </commentList>
</comments>
</file>

<file path=xl/sharedStrings.xml><?xml version="1.0" encoding="utf-8"?>
<sst xmlns="http://schemas.openxmlformats.org/spreadsheetml/2006/main" count="1288" uniqueCount="570">
  <si>
    <t>AURORA RIDGE ENERGY (FICTIONAL COMPANY) — CAPITAL INVESTMENT PLAN 2027</t>
  </si>
  <si>
    <t>Synthetic demonstration data: all names, projects and amounts are invented.</t>
  </si>
  <si>
    <t>USD thousands</t>
  </si>
  <si>
    <t>Project</t>
  </si>
  <si>
    <t>Plan by month</t>
  </si>
  <si>
    <t>Plan by quarter</t>
  </si>
  <si>
    <t>Plan 2027</t>
  </si>
  <si>
    <t>Actual by month</t>
  </si>
  <si>
    <t>Performance</t>
  </si>
  <si>
    <t>Internal</t>
  </si>
  <si>
    <t>Comments</t>
  </si>
  <si>
    <t>No.</t>
  </si>
  <si>
    <t>Business unit</t>
  </si>
  <si>
    <t>Category</t>
  </si>
  <si>
    <t>Priority</t>
  </si>
  <si>
    <t>Project manager</t>
  </si>
  <si>
    <t>Contract status</t>
  </si>
  <si>
    <t>Plan Jan</t>
  </si>
  <si>
    <t>Plan Feb</t>
  </si>
  <si>
    <t>Plan Mar</t>
  </si>
  <si>
    <t>Plan Apr</t>
  </si>
  <si>
    <t>Plan May</t>
  </si>
  <si>
    <t>Plan Jun</t>
  </si>
  <si>
    <t>Plan Jul</t>
  </si>
  <si>
    <t>Plan Aug</t>
  </si>
  <si>
    <t>Plan Sep</t>
  </si>
  <si>
    <t>Plan Oct</t>
  </si>
  <si>
    <t>Plan Nov</t>
  </si>
  <si>
    <t>Plan Dec</t>
  </si>
  <si>
    <t>Q1</t>
  </si>
  <si>
    <t>Q2</t>
  </si>
  <si>
    <t>Q3</t>
  </si>
  <si>
    <t>Q4</t>
  </si>
  <si>
    <t>Annual plan</t>
  </si>
  <si>
    <t>Actual Jan</t>
  </si>
  <si>
    <t>Actual Feb</t>
  </si>
  <si>
    <t>Actual Mar</t>
  </si>
  <si>
    <t>Actual Apr</t>
  </si>
  <si>
    <t>Actual May</t>
  </si>
  <si>
    <t>Actual Jun</t>
  </si>
  <si>
    <t>Actual Jul</t>
  </si>
  <si>
    <t>Actual Aug</t>
  </si>
  <si>
    <t>Actual Sep</t>
  </si>
  <si>
    <t>Actual Oct</t>
  </si>
  <si>
    <t>Actual Nov</t>
  </si>
  <si>
    <t>Actual Dec</t>
  </si>
  <si>
    <t>Actual YTD</t>
  </si>
  <si>
    <t>Full-year forecast</t>
  </si>
  <si>
    <t>Variance vs plan</t>
  </si>
  <si>
    <t>Completion, %</t>
  </si>
  <si>
    <t>Prior-year actual</t>
  </si>
  <si>
    <t>Helper code</t>
  </si>
  <si>
    <t>1</t>
  </si>
  <si>
    <t>UPSTREAM — HARBOR BASIN FIELDS</t>
  </si>
  <si>
    <t>1.1</t>
  </si>
  <si>
    <t>Development drilling</t>
  </si>
  <si>
    <t>1.1.1</t>
  </si>
  <si>
    <t>Overhaul of well pad P-109</t>
  </si>
  <si>
    <t>Harbor Basin</t>
  </si>
  <si>
    <t>Capex</t>
  </si>
  <si>
    <t>High</t>
  </si>
  <si>
    <t>Manager 12</t>
  </si>
  <si>
    <t>Signed</t>
  </si>
  <si>
    <t>WBS-101-109</t>
  </si>
  <si>
    <t>1.1.2</t>
  </si>
  <si>
    <t>New well HB-114</t>
  </si>
  <si>
    <t>Medium</t>
  </si>
  <si>
    <t>Manager 18</t>
  </si>
  <si>
    <t>WBS-101-114</t>
  </si>
  <si>
    <t>1.1.3</t>
  </si>
  <si>
    <t>Study for sidetrack HB-122S</t>
  </si>
  <si>
    <t>Cedar Point</t>
  </si>
  <si>
    <t>Low</t>
  </si>
  <si>
    <t>Manager 16</t>
  </si>
  <si>
    <t>WBS-101-122</t>
  </si>
  <si>
    <t>Design approved; construction starts after the rainy season.</t>
  </si>
  <si>
    <t>1.1.4</t>
  </si>
  <si>
    <t>Expansion of well pad P-131</t>
  </si>
  <si>
    <t>Manager 19</t>
  </si>
  <si>
    <t>WBS-101-131</t>
  </si>
  <si>
    <t>Permit pending; spending moved to the second half of the year.</t>
  </si>
  <si>
    <t>1.1.5</t>
  </si>
  <si>
    <t>Replacement of well pad P-139</t>
  </si>
  <si>
    <t>Manager 20</t>
  </si>
  <si>
    <t>Planned</t>
  </si>
  <si>
    <t>WBS-101-139</t>
  </si>
  <si>
    <t>1.1.6</t>
  </si>
  <si>
    <t>Study for well pad P-140</t>
  </si>
  <si>
    <t>Corporate</t>
  </si>
  <si>
    <t>Manager 14</t>
  </si>
  <si>
    <t>In negotiation</t>
  </si>
  <si>
    <t>WBS-101-140</t>
  </si>
  <si>
    <t>1.1.7</t>
  </si>
  <si>
    <t>Overhaul of well HB-148</t>
  </si>
  <si>
    <t>Eastgate</t>
  </si>
  <si>
    <t>Tender</t>
  </si>
  <si>
    <t>WBS-101-148</t>
  </si>
  <si>
    <t>Contractor mobilised; schedule confirmed with operations.</t>
  </si>
  <si>
    <t>1.1.8</t>
  </si>
  <si>
    <t>Overhaul of well pad P-149</t>
  </si>
  <si>
    <t>Manager 07</t>
  </si>
  <si>
    <t>WBS-101-149</t>
  </si>
  <si>
    <t>Deferred: waiting for partner approval.</t>
  </si>
  <si>
    <t>1.1.9</t>
  </si>
  <si>
    <t>Replacement of sidetrack HB-156S</t>
  </si>
  <si>
    <t>Manager 17</t>
  </si>
  <si>
    <t>WBS-101-156</t>
  </si>
  <si>
    <t>1.1.10</t>
  </si>
  <si>
    <t>Upgrade of well pad P-161</t>
  </si>
  <si>
    <t>WBS-101-161</t>
  </si>
  <si>
    <t>1.1.11</t>
  </si>
  <si>
    <t>New well HB-162</t>
  </si>
  <si>
    <t>WBS-101-162</t>
  </si>
  <si>
    <t>1.1.12</t>
  </si>
  <si>
    <t>Upgrade of sidetrack HB-171S</t>
  </si>
  <si>
    <t>Manager 02</t>
  </si>
  <si>
    <t>WBS-101-171</t>
  </si>
  <si>
    <t>1.1.13</t>
  </si>
  <si>
    <t>Study for sidetrack HB-180S</t>
  </si>
  <si>
    <t>Manager 04</t>
  </si>
  <si>
    <t>WBS-101-180</t>
  </si>
  <si>
    <t>Long-lead equipment ordered; delivery expected in Q3.</t>
  </si>
  <si>
    <t>1.2</t>
  </si>
  <si>
    <t>Well workovers</t>
  </si>
  <si>
    <t>1.2.1</t>
  </si>
  <si>
    <t>Upgrade of wellhead set 185</t>
  </si>
  <si>
    <t>Opex</t>
  </si>
  <si>
    <t>Manager 22</t>
  </si>
  <si>
    <t>WBS-102-185</t>
  </si>
  <si>
    <t>1.2.2</t>
  </si>
  <si>
    <t>Overhaul of workover rig campaign 186</t>
  </si>
  <si>
    <t>WBS-102-186</t>
  </si>
  <si>
    <t>1.2.3</t>
  </si>
  <si>
    <t>Study for workover rig campaign 187</t>
  </si>
  <si>
    <t>Silver Creek</t>
  </si>
  <si>
    <t>WBS-102-187</t>
  </si>
  <si>
    <t>1.2.4</t>
  </si>
  <si>
    <t>Study for artificial lift at HB-191</t>
  </si>
  <si>
    <t>Manager 01</t>
  </si>
  <si>
    <t>WBS-102-191</t>
  </si>
  <si>
    <t>1.2.5</t>
  </si>
  <si>
    <t>Replacement of wellhead set 195</t>
  </si>
  <si>
    <t>Manager 11</t>
  </si>
  <si>
    <t>WBS-102-195</t>
  </si>
  <si>
    <t>1.2.6</t>
  </si>
  <si>
    <t>Upgrade of workover rig campaign 199</t>
  </si>
  <si>
    <t>WBS-102-199</t>
  </si>
  <si>
    <t>Cancelled in 2026; kept for the audit trail.</t>
  </si>
  <si>
    <t>1.2.7</t>
  </si>
  <si>
    <t>Overhaul of workover rig campaign 203</t>
  </si>
  <si>
    <t>WBS-102-203</t>
  </si>
  <si>
    <t>1.2.8</t>
  </si>
  <si>
    <t>Overhaul of wellhead set 212</t>
  </si>
  <si>
    <t>WBS-102-212</t>
  </si>
  <si>
    <t>On hold until the 2028 budget review.</t>
  </si>
  <si>
    <t>1.2.9</t>
  </si>
  <si>
    <t>Overhaul of wellhead set 218</t>
  </si>
  <si>
    <t>WBS-102-218</t>
  </si>
  <si>
    <t>1.3</t>
  </si>
  <si>
    <t>Field facilities</t>
  </si>
  <si>
    <t>1.3.1</t>
  </si>
  <si>
    <t>Upgrade of flare system 221</t>
  </si>
  <si>
    <t>WBS-103-221</t>
  </si>
  <si>
    <t>1.3.2</t>
  </si>
  <si>
    <t>Study for separator train 223</t>
  </si>
  <si>
    <t>WBS-103-223</t>
  </si>
  <si>
    <t>1.3.3</t>
  </si>
  <si>
    <t>New separator train 228</t>
  </si>
  <si>
    <t>Manager 05</t>
  </si>
  <si>
    <t>WBS-103-228</t>
  </si>
  <si>
    <t>1.3.4</t>
  </si>
  <si>
    <t>New gathering line GL-233</t>
  </si>
  <si>
    <t>Manager 23</t>
  </si>
  <si>
    <t>WBS-103-233</t>
  </si>
  <si>
    <t>1.3.5</t>
  </si>
  <si>
    <t>Overhaul of separator train 240</t>
  </si>
  <si>
    <t>Manager 03</t>
  </si>
  <si>
    <t>WBS-103-240</t>
  </si>
  <si>
    <t>1.3.6</t>
  </si>
  <si>
    <t>Study for gathering line GL-245</t>
  </si>
  <si>
    <t>WBS-103-245</t>
  </si>
  <si>
    <t>1.3.7</t>
  </si>
  <si>
    <t>Upgrade of flare system 250</t>
  </si>
  <si>
    <t>WBS-103-250</t>
  </si>
  <si>
    <t>1.3.8</t>
  </si>
  <si>
    <t>Study for gathering line GL-258</t>
  </si>
  <si>
    <t>WBS-103-258</t>
  </si>
  <si>
    <t>1.3.9</t>
  </si>
  <si>
    <t>Expansion of flare system 266</t>
  </si>
  <si>
    <t>WBS-103-266</t>
  </si>
  <si>
    <t>1.3.10</t>
  </si>
  <si>
    <t>Overhaul of separator train 275</t>
  </si>
  <si>
    <t>WBS-103-275</t>
  </si>
  <si>
    <t>2</t>
  </si>
  <si>
    <t>MIDSTREAM — PIPELINES AND STORAGE</t>
  </si>
  <si>
    <t>2.1</t>
  </si>
  <si>
    <t>Pipeline integrity</t>
  </si>
  <si>
    <t>2.1.1</t>
  </si>
  <si>
    <t>Overhaul of cathodic protection zone 283</t>
  </si>
  <si>
    <t>WBS-201-283</t>
  </si>
  <si>
    <t>2.1.2</t>
  </si>
  <si>
    <t>Upgrade of cathodic protection zone 287</t>
  </si>
  <si>
    <t>Manager 24</t>
  </si>
  <si>
    <t>WBS-201-287</t>
  </si>
  <si>
    <t>2.1.3</t>
  </si>
  <si>
    <t>Expansion of cathodic protection zone 293</t>
  </si>
  <si>
    <t>Manager 08</t>
  </si>
  <si>
    <t>WBS-201-293</t>
  </si>
  <si>
    <t>2.1.4</t>
  </si>
  <si>
    <t>Overhaul of cathodic protection zone 300</t>
  </si>
  <si>
    <t>WBS-201-300</t>
  </si>
  <si>
    <t>Carry-over from 2026; final invoices only.</t>
  </si>
  <si>
    <t>2.1.5</t>
  </si>
  <si>
    <t>Study for cathodic protection zone 303</t>
  </si>
  <si>
    <t>Manager 21</t>
  </si>
  <si>
    <t>WBS-201-303</t>
  </si>
  <si>
    <t>2.1.6</t>
  </si>
  <si>
    <t>Study for pipeline section PL-309</t>
  </si>
  <si>
    <t>WBS-201-309</t>
  </si>
  <si>
    <t>2.1.7</t>
  </si>
  <si>
    <t>Replacement of inline inspection run 311</t>
  </si>
  <si>
    <t>WBS-201-311</t>
  </si>
  <si>
    <t>2.1.8</t>
  </si>
  <si>
    <t>Overhaul of pipeline section PL-319</t>
  </si>
  <si>
    <t>Manager 15</t>
  </si>
  <si>
    <t>WBS-201-319</t>
  </si>
  <si>
    <t>2.1.9</t>
  </si>
  <si>
    <t>Overhaul of pipeline section PL-323</t>
  </si>
  <si>
    <t>WBS-201-323</t>
  </si>
  <si>
    <t>2.2</t>
  </si>
  <si>
    <t>Storage terminals</t>
  </si>
  <si>
    <t>2.2.1</t>
  </si>
  <si>
    <t>Replacement of loading bay 326</t>
  </si>
  <si>
    <t>WBS-202-326</t>
  </si>
  <si>
    <t>Scope reduced after technical review; savings reallocated.</t>
  </si>
  <si>
    <t>2.2.2</t>
  </si>
  <si>
    <t>Replacement of loading bay 330</t>
  </si>
  <si>
    <t>WBS-202-330</t>
  </si>
  <si>
    <t>2.2.3</t>
  </si>
  <si>
    <t>Study for loading bay 335</t>
  </si>
  <si>
    <t>WBS-202-335</t>
  </si>
  <si>
    <t>2.2.4</t>
  </si>
  <si>
    <t>Upgrade of tank T-340</t>
  </si>
  <si>
    <t>WBS-202-340</t>
  </si>
  <si>
    <t>2.2.5</t>
  </si>
  <si>
    <t>Overhaul of loading bay 347</t>
  </si>
  <si>
    <t>Manager 10</t>
  </si>
  <si>
    <t>WBS-202-347</t>
  </si>
  <si>
    <t>2.2.6</t>
  </si>
  <si>
    <t>Study for metering skid 356</t>
  </si>
  <si>
    <t>WBS-202-356</t>
  </si>
  <si>
    <t>2.2.7</t>
  </si>
  <si>
    <t>Upgrade of loading bay 364</t>
  </si>
  <si>
    <t>WBS-202-364</t>
  </si>
  <si>
    <t>2.2.8</t>
  </si>
  <si>
    <t>Replacement of tank T-366</t>
  </si>
  <si>
    <t>WBS-202-366</t>
  </si>
  <si>
    <t>2.2.9</t>
  </si>
  <si>
    <t>New tank T-371</t>
  </si>
  <si>
    <t>Manager 09</t>
  </si>
  <si>
    <t>WBS-202-371</t>
  </si>
  <si>
    <t>2.2.10</t>
  </si>
  <si>
    <t>Study for tank T-378</t>
  </si>
  <si>
    <t>WBS-202-378</t>
  </si>
  <si>
    <t>2.2.11</t>
  </si>
  <si>
    <t>Upgrade of metering skid 383</t>
  </si>
  <si>
    <t>WBS-202-383</t>
  </si>
  <si>
    <t>2.2.12</t>
  </si>
  <si>
    <t>Replacement of metering skid 388</t>
  </si>
  <si>
    <t>WBS-202-388</t>
  </si>
  <si>
    <t>2.2.13</t>
  </si>
  <si>
    <t>Expansion of loading bay 390</t>
  </si>
  <si>
    <t>WBS-202-390</t>
  </si>
  <si>
    <t>3</t>
  </si>
  <si>
    <t>POWER AND UTILITIES</t>
  </si>
  <si>
    <t>3.1</t>
  </si>
  <si>
    <t>Gas-fired power unit</t>
  </si>
  <si>
    <t>3.1.1</t>
  </si>
  <si>
    <t>New turbine unit G392</t>
  </si>
  <si>
    <t>WBS-301-392</t>
  </si>
  <si>
    <t>3.1.2</t>
  </si>
  <si>
    <t>Expansion of control room 395</t>
  </si>
  <si>
    <t>WBS-301-395</t>
  </si>
  <si>
    <t>3.1.3</t>
  </si>
  <si>
    <t>Replacement of turbine unit G403</t>
  </si>
  <si>
    <t>Manager 13</t>
  </si>
  <si>
    <t>WBS-301-403</t>
  </si>
  <si>
    <t>3.1.4</t>
  </si>
  <si>
    <t>Overhaul of turbine unit G410</t>
  </si>
  <si>
    <t>WBS-301-410</t>
  </si>
  <si>
    <t>3.1.5</t>
  </si>
  <si>
    <t>Study for control room 416</t>
  </si>
  <si>
    <t>WBS-301-416</t>
  </si>
  <si>
    <t>3.1.6</t>
  </si>
  <si>
    <t>Upgrade of turbine unit G424</t>
  </si>
  <si>
    <t>WBS-301-424</t>
  </si>
  <si>
    <t>3.1.7</t>
  </si>
  <si>
    <t>Study for heat recovery boiler 429</t>
  </si>
  <si>
    <t>WBS-301-429</t>
  </si>
  <si>
    <t>3.1.8</t>
  </si>
  <si>
    <t>Overhaul of control room 434</t>
  </si>
  <si>
    <t>WBS-301-434</t>
  </si>
  <si>
    <t>3.1.9</t>
  </si>
  <si>
    <t>Overhaul of heat recovery boiler 441</t>
  </si>
  <si>
    <t>WBS-301-441</t>
  </si>
  <si>
    <t>Cost estimate updated for steel prices (+6%).</t>
  </si>
  <si>
    <t>3.1.10</t>
  </si>
  <si>
    <t>Replacement of heat recovery boiler 442</t>
  </si>
  <si>
    <t>WBS-301-442</t>
  </si>
  <si>
    <t>3.2</t>
  </si>
  <si>
    <t>Grid connections</t>
  </si>
  <si>
    <t>3.2.1</t>
  </si>
  <si>
    <t>Overhaul of transformer bank 443</t>
  </si>
  <si>
    <t>WBS-302-443</t>
  </si>
  <si>
    <t>3.2.2</t>
  </si>
  <si>
    <t>Study for overhead line OL-444</t>
  </si>
  <si>
    <t>WBS-302-444</t>
  </si>
  <si>
    <t>3.2.3</t>
  </si>
  <si>
    <t>Study for transformer bank 449</t>
  </si>
  <si>
    <t>WBS-302-449</t>
  </si>
  <si>
    <t>3.2.4</t>
  </si>
  <si>
    <t>Expansion of overhead line OL-453</t>
  </si>
  <si>
    <t>WBS-302-453</t>
  </si>
  <si>
    <t>3.2.5</t>
  </si>
  <si>
    <t>Expansion of overhead line OL-462</t>
  </si>
  <si>
    <t>WBS-302-462</t>
  </si>
  <si>
    <t>3.2.6</t>
  </si>
  <si>
    <t>Expansion of transformer bank 468</t>
  </si>
  <si>
    <t>WBS-302-468</t>
  </si>
  <si>
    <t>3.2.7</t>
  </si>
  <si>
    <t>Study for transformer bank 474</t>
  </si>
  <si>
    <t>WBS-302-474</t>
  </si>
  <si>
    <t>3.2.8</t>
  </si>
  <si>
    <t>Upgrade of transformer bank 479</t>
  </si>
  <si>
    <t>WBS-302-479</t>
  </si>
  <si>
    <t>3.2.9</t>
  </si>
  <si>
    <t>Overhaul of substation SS-486</t>
  </si>
  <si>
    <t>WBS-302-486</t>
  </si>
  <si>
    <t>3.2.10</t>
  </si>
  <si>
    <t>New overhead line OL-487</t>
  </si>
  <si>
    <t>Manager 06</t>
  </si>
  <si>
    <t>WBS-302-487</t>
  </si>
  <si>
    <t>3.2.11</t>
  </si>
  <si>
    <t>Expansion of transformer bank 491</t>
  </si>
  <si>
    <t>WBS-302-491</t>
  </si>
  <si>
    <t>3.3</t>
  </si>
  <si>
    <t>Water treatment</t>
  </si>
  <si>
    <t>3.3.1</t>
  </si>
  <si>
    <t>Overhaul of injection pump set 497</t>
  </si>
  <si>
    <t>WBS-303-497</t>
  </si>
  <si>
    <t>3.3.2</t>
  </si>
  <si>
    <t>Study for injection pump set 498</t>
  </si>
  <si>
    <t>WBS-303-498</t>
  </si>
  <si>
    <t>3.3.3</t>
  </si>
  <si>
    <t>Upgrade of reservoir 503</t>
  </si>
  <si>
    <t>WBS-303-503</t>
  </si>
  <si>
    <t>3.3.4</t>
  </si>
  <si>
    <t>Upgrade of injection pump set 510</t>
  </si>
  <si>
    <t>WBS-303-510</t>
  </si>
  <si>
    <t>3.3.5</t>
  </si>
  <si>
    <t>Upgrade of water plant module 513</t>
  </si>
  <si>
    <t>WBS-303-513</t>
  </si>
  <si>
    <t>3.3.6</t>
  </si>
  <si>
    <t>Overhaul of water plant module 521</t>
  </si>
  <si>
    <t>WBS-303-521</t>
  </si>
  <si>
    <t>3.3.7</t>
  </si>
  <si>
    <t>Upgrade of reservoir 526</t>
  </si>
  <si>
    <t>WBS-303-526</t>
  </si>
  <si>
    <t>3.3.8</t>
  </si>
  <si>
    <t>Upgrade of reservoir 530</t>
  </si>
  <si>
    <t>WBS-303-530</t>
  </si>
  <si>
    <t>3.3.9</t>
  </si>
  <si>
    <t>Expansion of injection pump set 531</t>
  </si>
  <si>
    <t>WBS-303-531</t>
  </si>
  <si>
    <t>3.3.10</t>
  </si>
  <si>
    <t>New reservoir 540</t>
  </si>
  <si>
    <t>WBS-303-540</t>
  </si>
  <si>
    <t>4</t>
  </si>
  <si>
    <t>INFRASTRUCTURE AND LOGISTICS</t>
  </si>
  <si>
    <t>4.1</t>
  </si>
  <si>
    <t>Roads and bridges</t>
  </si>
  <si>
    <t>4.1.1</t>
  </si>
  <si>
    <t>Replacement of bridge B-545</t>
  </si>
  <si>
    <t>WBS-401-545</t>
  </si>
  <si>
    <t>4.1.2</t>
  </si>
  <si>
    <t>Upgrade of drainage works 547</t>
  </si>
  <si>
    <t>WBS-401-547</t>
  </si>
  <si>
    <t>4.1.3</t>
  </si>
  <si>
    <t>New access road R-549</t>
  </si>
  <si>
    <t>WBS-401-549</t>
  </si>
  <si>
    <t>4.1.4</t>
  </si>
  <si>
    <t>Overhaul of bridge B-551</t>
  </si>
  <si>
    <t>WBS-401-551</t>
  </si>
  <si>
    <t>4.1.5</t>
  </si>
  <si>
    <t>Replacement of access road R-554</t>
  </si>
  <si>
    <t>WBS-401-554</t>
  </si>
  <si>
    <t>4.1.6</t>
  </si>
  <si>
    <t>Upgrade of drainage works 559</t>
  </si>
  <si>
    <t>WBS-401-559</t>
  </si>
  <si>
    <t>4.1.7</t>
  </si>
  <si>
    <t>Study for bridge B-568</t>
  </si>
  <si>
    <t>WBS-401-568</t>
  </si>
  <si>
    <t>4.1.8</t>
  </si>
  <si>
    <t>Replacement of access road R-574</t>
  </si>
  <si>
    <t>WBS-401-574</t>
  </si>
  <si>
    <t>4.2</t>
  </si>
  <si>
    <t>Camps and offices</t>
  </si>
  <si>
    <t>4.2.1</t>
  </si>
  <si>
    <t>Overhaul of regional office 581</t>
  </si>
  <si>
    <t>WBS-402-581</t>
  </si>
  <si>
    <t>4.2.2</t>
  </si>
  <si>
    <t>Expansion of field camp block 590</t>
  </si>
  <si>
    <t>WBS-402-590</t>
  </si>
  <si>
    <t>4.2.3</t>
  </si>
  <si>
    <t>New regional office 592</t>
  </si>
  <si>
    <t>WBS-402-592</t>
  </si>
  <si>
    <t>4.2.4</t>
  </si>
  <si>
    <t>Study for field camp block 595</t>
  </si>
  <si>
    <t>WBS-402-595</t>
  </si>
  <si>
    <t>4.2.5</t>
  </si>
  <si>
    <t>Upgrade of warehouse 599</t>
  </si>
  <si>
    <t>WBS-402-599</t>
  </si>
  <si>
    <t>4.2.6</t>
  </si>
  <si>
    <t>Study for field camp block 604</t>
  </si>
  <si>
    <t>WBS-402-604</t>
  </si>
  <si>
    <t>4.2.7</t>
  </si>
  <si>
    <t>Study for field camp block 605</t>
  </si>
  <si>
    <t>WBS-402-605</t>
  </si>
  <si>
    <t>4.2.8</t>
  </si>
  <si>
    <t>Replacement of warehouse 613</t>
  </si>
  <si>
    <t>WBS-402-613</t>
  </si>
  <si>
    <t>4.2.9</t>
  </si>
  <si>
    <t>New field camp block 622</t>
  </si>
  <si>
    <t>WBS-402-622</t>
  </si>
  <si>
    <t>4.2.10</t>
  </si>
  <si>
    <t>Expansion of field camp block 631</t>
  </si>
  <si>
    <t>WBS-402-631</t>
  </si>
  <si>
    <t>4.2.11</t>
  </si>
  <si>
    <t>Overhaul of field camp block 639</t>
  </si>
  <si>
    <t>WBS-402-639</t>
  </si>
  <si>
    <t>5</t>
  </si>
  <si>
    <t>DIGITAL AND SAFETY</t>
  </si>
  <si>
    <t>5.1</t>
  </si>
  <si>
    <t>IT systems</t>
  </si>
  <si>
    <t>5.1.1</t>
  </si>
  <si>
    <t>Expansion of network site 645</t>
  </si>
  <si>
    <t>WBS-501-645</t>
  </si>
  <si>
    <t>5.1.2</t>
  </si>
  <si>
    <t>New ERP module 654</t>
  </si>
  <si>
    <t>WBS-501-654</t>
  </si>
  <si>
    <t>5.1.3</t>
  </si>
  <si>
    <t>Overhaul of network site 657</t>
  </si>
  <si>
    <t>WBS-501-657</t>
  </si>
  <si>
    <t>5.1.4</t>
  </si>
  <si>
    <t>Expansion of ERP module 665</t>
  </si>
  <si>
    <t>WBS-501-665</t>
  </si>
  <si>
    <t>5.1.5</t>
  </si>
  <si>
    <t>Expansion of data centre rack 668</t>
  </si>
  <si>
    <t>WBS-501-668</t>
  </si>
  <si>
    <t>5.1.6</t>
  </si>
  <si>
    <t>Overhaul of data centre rack 672</t>
  </si>
  <si>
    <t>WBS-501-672</t>
  </si>
  <si>
    <t>5.1.7</t>
  </si>
  <si>
    <t>Overhaul of ERP module 675</t>
  </si>
  <si>
    <t>WBS-501-675</t>
  </si>
  <si>
    <t>5.1.8</t>
  </si>
  <si>
    <t>Replacement of data centre rack 683</t>
  </si>
  <si>
    <t>WBS-501-683</t>
  </si>
  <si>
    <t>5.1.9</t>
  </si>
  <si>
    <t>Overhaul of data centre rack 692</t>
  </si>
  <si>
    <t>WBS-501-692</t>
  </si>
  <si>
    <t>5.1.10</t>
  </si>
  <si>
    <t>Upgrade of network site 699</t>
  </si>
  <si>
    <t>WBS-501-699</t>
  </si>
  <si>
    <t>5.1.11</t>
  </si>
  <si>
    <t>Upgrade of data centre rack 708</t>
  </si>
  <si>
    <t>WBS-501-708</t>
  </si>
  <si>
    <t>5.1.12</t>
  </si>
  <si>
    <t>Overhaul of network site 713</t>
  </si>
  <si>
    <t>WBS-501-713</t>
  </si>
  <si>
    <t>5.1.13</t>
  </si>
  <si>
    <t>Expansion of data centre rack 718</t>
  </si>
  <si>
    <t>WBS-501-718</t>
  </si>
  <si>
    <t>5.2</t>
  </si>
  <si>
    <t>Safety and environment</t>
  </si>
  <si>
    <t>5.2.1</t>
  </si>
  <si>
    <t>Expansion of fire water ring 720</t>
  </si>
  <si>
    <t>WBS-502-720</t>
  </si>
  <si>
    <t>5.2.2</t>
  </si>
  <si>
    <t>Replacement of fire water ring 725</t>
  </si>
  <si>
    <t>WBS-502-725</t>
  </si>
  <si>
    <t>5.2.3</t>
  </si>
  <si>
    <t>Replacement of fire water ring 727</t>
  </si>
  <si>
    <t>WBS-502-727</t>
  </si>
  <si>
    <t>5.2.4</t>
  </si>
  <si>
    <t>Replacement of gas detection zone 733</t>
  </si>
  <si>
    <t>WBS-502-733</t>
  </si>
  <si>
    <t>5.2.5</t>
  </si>
  <si>
    <t>Overhaul of gas detection zone 741</t>
  </si>
  <si>
    <t>WBS-502-741</t>
  </si>
  <si>
    <t>5.2.6</t>
  </si>
  <si>
    <t>Expansion of emission monitor 743</t>
  </si>
  <si>
    <t>WBS-502-743</t>
  </si>
  <si>
    <t>5.2.7</t>
  </si>
  <si>
    <t>Overhaul of fire water ring 751</t>
  </si>
  <si>
    <t>WBS-502-751</t>
  </si>
  <si>
    <t>5.2.8</t>
  </si>
  <si>
    <t>Replacement of gas detection zone 759</t>
  </si>
  <si>
    <t>WBS-502-759</t>
  </si>
  <si>
    <t>5.2.9</t>
  </si>
  <si>
    <t>Upgrade of fire water ring 762</t>
  </si>
  <si>
    <t>WBS-502-762</t>
  </si>
  <si>
    <t>5.2.10</t>
  </si>
  <si>
    <t>Upgrade of gas detection zone 770</t>
  </si>
  <si>
    <t>WBS-502-770</t>
  </si>
  <si>
    <t>6</t>
  </si>
  <si>
    <t>CORPORATE AND OTHER</t>
  </si>
  <si>
    <t>6.1</t>
  </si>
  <si>
    <t>Studies and engineering</t>
  </si>
  <si>
    <t>6.1.1</t>
  </si>
  <si>
    <t>New feasibility study 772</t>
  </si>
  <si>
    <t>WBS-601-772</t>
  </si>
  <si>
    <t>6.1.2</t>
  </si>
  <si>
    <t>Overhaul of survey 779</t>
  </si>
  <si>
    <t>WBS-601-779</t>
  </si>
  <si>
    <t>6.1.3</t>
  </si>
  <si>
    <t>Replacement of front-end design 782</t>
  </si>
  <si>
    <t>WBS-601-782</t>
  </si>
  <si>
    <t>6.1.4</t>
  </si>
  <si>
    <t>Overhaul of front-end design 784</t>
  </si>
  <si>
    <t>WBS-601-784</t>
  </si>
  <si>
    <t>6.1.5</t>
  </si>
  <si>
    <t>New feasibility study 787</t>
  </si>
  <si>
    <t>WBS-601-787</t>
  </si>
  <si>
    <t>6.1.6</t>
  </si>
  <si>
    <t>Overhaul of feasibility study 789</t>
  </si>
  <si>
    <t>WBS-601-789</t>
  </si>
  <si>
    <t>6.1.7</t>
  </si>
  <si>
    <t>Upgrade of front-end design 792</t>
  </si>
  <si>
    <t>WBS-601-792</t>
  </si>
  <si>
    <t>6.1.8</t>
  </si>
  <si>
    <t>Overhaul of front-end design 799</t>
  </si>
  <si>
    <t>WBS-601-799</t>
  </si>
  <si>
    <t>6.1.9</t>
  </si>
  <si>
    <t>Overhaul of front-end design 806</t>
  </si>
  <si>
    <t>WBS-601-806</t>
  </si>
  <si>
    <t>6.2</t>
  </si>
  <si>
    <t>Legacy claims</t>
  </si>
  <si>
    <t>6.2.1</t>
  </si>
  <si>
    <t>Replacement of contract claim 810</t>
  </si>
  <si>
    <t>WBS-602-810</t>
  </si>
  <si>
    <t>6.2.2</t>
  </si>
  <si>
    <t>New warranty case 819</t>
  </si>
  <si>
    <t>WBS-602-819</t>
  </si>
  <si>
    <t>6.2.3</t>
  </si>
  <si>
    <t>Overhaul of contract claim 822</t>
  </si>
  <si>
    <t>WBS-602-822</t>
  </si>
  <si>
    <t>6.2.4</t>
  </si>
  <si>
    <t>Study for land settlement 826</t>
  </si>
  <si>
    <t>WBS-602-826</t>
  </si>
  <si>
    <t>6.2.5</t>
  </si>
  <si>
    <t>Upgrade of warranty case 827</t>
  </si>
  <si>
    <t>WBS-602-827</t>
  </si>
  <si>
    <t>6.2.6</t>
  </si>
  <si>
    <t>Expansion of land settlement 836</t>
  </si>
  <si>
    <t>WBS-602-836</t>
  </si>
  <si>
    <t>6.2.7</t>
  </si>
  <si>
    <t>Replacement of land settlement 845</t>
  </si>
  <si>
    <t>WBS-602-845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</si>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</sst>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-#,##0.0;&quot;-&quot;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0"/>
      <name val="Calibri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7E6EF"/>
      </patternFill>
    </fill>
    <fill>
      <patternFill patternType="solid">
        <fgColor rgb="FFD9D2E9"/>
      </patternFill>
    </fill>
    <fill>
      <patternFill patternType="solid">
        <fgColor rgb="FFB4A7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164" fontId="6" fillId="4" borderId="1" xfId="0" applyNumberFormat="1" applyFont="1" applyFill="1" applyBorder="1"/>
    <xf numFmtId="165" fontId="6" fillId="4" borderId="1" xfId="0" applyNumberFormat="1" applyFont="1" applyFill="1" applyBorder="1"/>
    <xf numFmtId="0" fontId="6" fillId="4" borderId="1" xfId="0" applyFont="1" applyFill="1" applyBorder="1" applyAlignment="1">
      <alignment vertical="top" wrapText="1"/>
    </xf>
    <xf numFmtId="0" fontId="5" fillId="3" borderId="1" xfId="0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0" fontId="5" fillId="3" borderId="1" xfId="0" applyFont="1" applyFill="1" applyBorder="1" applyAlignment="1">
      <alignment vertical="top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vertical="top" wrapText="1"/>
    </xf>
    <xf numFmtId="0" fontId="6" fillId="5" borderId="1" xfId="0" applyFont="1" applyFill="1" applyBorder="1"/>
    <xf numFmtId="164" fontId="6" fillId="5" borderId="1" xfId="0" applyNumberFormat="1" applyFont="1" applyFill="1" applyBorder="1"/>
    <xf numFmtId="165" fontId="6" fillId="5" borderId="1" xfId="0" applyNumberFormat="1" applyFont="1" applyFill="1" applyBorder="1"/>
    <xf numFmtId="0" fontId="6" fillId="5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9"/>
  <sheetViews>
    <sheetView tabSelected="1" workbookViewId="0">
      <pane xSplit="7" ySplit="5" topLeftCell="H6" activePane="bottomRight" state="frozen"/>
      <selection pane="topRight"/>
      <selection pane="bottomLeft"/>
      <selection pane="bottomRight" sqref="A1:AQ1"/>
    </sheetView>
  </sheetViews>
  <sheetFormatPr defaultRowHeight="14.25" outlineLevelRow="2" x14ac:dyDescent="0.45"/>
  <cols>
    <col min="1" max="1" width="7" customWidth="1"/>
    <col min="2" max="2" width="40" customWidth="1"/>
    <col min="3" max="3" width="13" customWidth="1"/>
    <col min="4" max="5" width="9" customWidth="1"/>
    <col min="6" max="6" width="12" customWidth="1"/>
    <col min="7" max="7" width="13" customWidth="1"/>
    <col min="8" max="23" width="9" customWidth="1"/>
    <col min="24" max="24" width="11" customWidth="1"/>
    <col min="25" max="36" width="9" customWidth="1"/>
    <col min="37" max="37" width="11" customWidth="1"/>
    <col min="38" max="38" width="12" customWidth="1"/>
    <col min="39" max="40" width="11" customWidth="1"/>
    <col min="41" max="41" width="11" hidden="1" customWidth="1"/>
    <col min="42" max="42" width="15" hidden="1" customWidth="1"/>
    <col min="43" max="43" width="42" customWidth="1"/>
  </cols>
  <sheetData>
    <row r="1" spans="1:43" ht="21" x14ac:dyDescent="0.65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</row>
    <row r="2" spans="1:43" x14ac:dyDescent="0.4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</row>
    <row r="3" spans="1:43" x14ac:dyDescent="0.45">
      <c r="AN3" s="1" t="s">
        <v>2</v>
      </c>
    </row>
    <row r="4" spans="1:43" x14ac:dyDescent="0.45">
      <c r="A4" s="19" t="s">
        <v>3</v>
      </c>
      <c r="B4" s="19"/>
      <c r="C4" s="19"/>
      <c r="D4" s="19"/>
      <c r="E4" s="19"/>
      <c r="F4" s="19"/>
      <c r="G4" s="19"/>
      <c r="H4" s="19" t="s">
        <v>4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 t="s">
        <v>5</v>
      </c>
      <c r="U4" s="19"/>
      <c r="V4" s="19"/>
      <c r="W4" s="19"/>
      <c r="X4" s="2" t="s">
        <v>6</v>
      </c>
      <c r="Y4" s="19" t="s">
        <v>7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 t="s">
        <v>8</v>
      </c>
      <c r="AL4" s="19"/>
      <c r="AM4" s="19"/>
      <c r="AN4" s="19"/>
      <c r="AO4" s="19" t="s">
        <v>9</v>
      </c>
      <c r="AP4" s="19"/>
      <c r="AQ4" s="2" t="s">
        <v>10</v>
      </c>
    </row>
    <row r="5" spans="1:43" ht="32" customHeight="1" x14ac:dyDescent="0.45">
      <c r="A5" s="2" t="s">
        <v>11</v>
      </c>
      <c r="B5" s="2" t="s">
        <v>3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  <c r="L5" s="2" t="s">
        <v>21</v>
      </c>
      <c r="M5" s="2" t="s">
        <v>22</v>
      </c>
      <c r="N5" s="2" t="s">
        <v>23</v>
      </c>
      <c r="O5" s="2" t="s">
        <v>24</v>
      </c>
      <c r="P5" s="2" t="s">
        <v>25</v>
      </c>
      <c r="Q5" s="2" t="s">
        <v>26</v>
      </c>
      <c r="R5" s="2" t="s">
        <v>27</v>
      </c>
      <c r="S5" s="2" t="s">
        <v>28</v>
      </c>
      <c r="T5" s="2" t="s">
        <v>29</v>
      </c>
      <c r="U5" s="2" t="s">
        <v>30</v>
      </c>
      <c r="V5" s="2" t="s">
        <v>31</v>
      </c>
      <c r="W5" s="2" t="s">
        <v>32</v>
      </c>
      <c r="X5" s="2" t="s">
        <v>33</v>
      </c>
      <c r="Y5" s="2" t="s">
        <v>34</v>
      </c>
      <c r="Z5" s="2" t="s">
        <v>35</v>
      </c>
      <c r="AA5" s="2" t="s">
        <v>36</v>
      </c>
      <c r="AB5" s="2" t="s">
        <v>37</v>
      </c>
      <c r="AC5" s="2" t="s">
        <v>38</v>
      </c>
      <c r="AD5" s="2" t="s">
        <v>39</v>
      </c>
      <c r="AE5" s="2" t="s">
        <v>40</v>
      </c>
      <c r="AF5" s="2" t="s">
        <v>41</v>
      </c>
      <c r="AG5" s="2" t="s">
        <v>42</v>
      </c>
      <c r="AH5" s="2" t="s">
        <v>43</v>
      </c>
      <c r="AI5" s="2" t="s">
        <v>44</v>
      </c>
      <c r="AJ5" s="2" t="s">
        <v>45</v>
      </c>
      <c r="AK5" s="2" t="s">
        <v>46</v>
      </c>
      <c r="AL5" s="2" t="s">
        <v>47</v>
      </c>
      <c r="AM5" s="2" t="s">
        <v>48</v>
      </c>
      <c r="AN5" s="2" t="s">
        <v>49</v>
      </c>
      <c r="AO5" s="2" t="s">
        <v>50</v>
      </c>
      <c r="AP5" s="2" t="s">
        <v>51</v>
      </c>
      <c r="AQ5" s="2" t="s">
        <v>10</v>
      </c>
    </row>
    <row r="6" spans="1:43" ht="15.75" x14ac:dyDescent="0.5">
      <c r="A6" s="3" t="s">
        <v>52</v>
      </c>
      <c r="B6" s="3" t="s">
        <v>53</v>
      </c>
      <c r="C6" s="3"/>
      <c r="D6" s="3"/>
      <c r="E6" s="3"/>
      <c r="F6" s="3"/>
      <c r="G6" s="3"/>
      <c r="H6" s="4">
        <f t="shared" ref="H6:AL6" si="0">SUBTOTAL(9,H7:H41)</f>
        <v>231</v>
      </c>
      <c r="I6" s="4">
        <f t="shared" si="0"/>
        <v>340.40000000000003</v>
      </c>
      <c r="J6" s="4">
        <f t="shared" si="0"/>
        <v>557.79999999999995</v>
      </c>
      <c r="K6" s="4">
        <f t="shared" si="0"/>
        <v>882.1</v>
      </c>
      <c r="L6" s="4">
        <f t="shared" si="0"/>
        <v>1122.4999999999998</v>
      </c>
      <c r="M6" s="4">
        <f t="shared" si="0"/>
        <v>1407.7999999999997</v>
      </c>
      <c r="N6" s="4">
        <f t="shared" si="0"/>
        <v>1298.6000000000001</v>
      </c>
      <c r="O6" s="4">
        <f t="shared" si="0"/>
        <v>1628.1000000000001</v>
      </c>
      <c r="P6" s="4">
        <f t="shared" si="0"/>
        <v>1522.6000000000004</v>
      </c>
      <c r="Q6" s="4">
        <f t="shared" si="0"/>
        <v>1654.4999999999998</v>
      </c>
      <c r="R6" s="4">
        <f t="shared" si="0"/>
        <v>1559.5</v>
      </c>
      <c r="S6" s="4">
        <f t="shared" si="0"/>
        <v>1477.1000000000001</v>
      </c>
      <c r="T6" s="4">
        <f t="shared" si="0"/>
        <v>1129.1999999999998</v>
      </c>
      <c r="U6" s="4">
        <f t="shared" si="0"/>
        <v>3412.4</v>
      </c>
      <c r="V6" s="4">
        <f t="shared" si="0"/>
        <v>4449.3</v>
      </c>
      <c r="W6" s="4">
        <f t="shared" si="0"/>
        <v>4691.1000000000004</v>
      </c>
      <c r="X6" s="4">
        <f t="shared" si="0"/>
        <v>13681.999999999996</v>
      </c>
      <c r="Y6" s="4">
        <f t="shared" si="0"/>
        <v>223.40000000000003</v>
      </c>
      <c r="Z6" s="4">
        <f t="shared" si="0"/>
        <v>272.5</v>
      </c>
      <c r="AA6" s="4">
        <f t="shared" si="0"/>
        <v>536</v>
      </c>
      <c r="AB6" s="4">
        <f t="shared" si="0"/>
        <v>753.6</v>
      </c>
      <c r="AC6" s="4">
        <f t="shared" si="0"/>
        <v>841</v>
      </c>
      <c r="AD6" s="4">
        <f t="shared" si="0"/>
        <v>1253.7</v>
      </c>
      <c r="AE6" s="4">
        <f t="shared" si="0"/>
        <v>1101.8000000000002</v>
      </c>
      <c r="AF6" s="4">
        <f t="shared" si="0"/>
        <v>1336.1000000000001</v>
      </c>
      <c r="AG6" s="4">
        <f t="shared" si="0"/>
        <v>1190.0999999999999</v>
      </c>
      <c r="AH6" s="4">
        <f t="shared" si="0"/>
        <v>71</v>
      </c>
      <c r="AI6" s="4">
        <f t="shared" si="0"/>
        <v>29.4</v>
      </c>
      <c r="AJ6" s="4">
        <f t="shared" si="0"/>
        <v>55.3</v>
      </c>
      <c r="AK6" s="4">
        <f t="shared" si="0"/>
        <v>7663.8999999999987</v>
      </c>
      <c r="AL6" s="4">
        <f t="shared" si="0"/>
        <v>12406.599999999999</v>
      </c>
      <c r="AM6" s="4">
        <f t="shared" ref="AM6:AM37" si="1">AL6-X6</f>
        <v>-1275.3999999999978</v>
      </c>
      <c r="AN6" s="5">
        <f t="shared" ref="AN6:AN37" si="2">IF(X6=0,0,AK6/X6)</f>
        <v>0.56014471568484148</v>
      </c>
      <c r="AO6" s="4">
        <f>SUBTOTAL(9,AO7:AO41)</f>
        <v>11025.8</v>
      </c>
      <c r="AP6" s="3"/>
      <c r="AQ6" s="6"/>
    </row>
    <row r="7" spans="1:43" outlineLevel="1" x14ac:dyDescent="0.45">
      <c r="A7" s="7" t="s">
        <v>54</v>
      </c>
      <c r="B7" s="7" t="s">
        <v>55</v>
      </c>
      <c r="C7" s="7"/>
      <c r="D7" s="7"/>
      <c r="E7" s="7"/>
      <c r="F7" s="7"/>
      <c r="G7" s="7"/>
      <c r="H7" s="8">
        <f t="shared" ref="H7:AL7" si="3">SUBTOTAL(9,H8:H20)</f>
        <v>124.10000000000001</v>
      </c>
      <c r="I7" s="8">
        <f t="shared" si="3"/>
        <v>218.60000000000002</v>
      </c>
      <c r="J7" s="8">
        <f t="shared" si="3"/>
        <v>359.4</v>
      </c>
      <c r="K7" s="8">
        <f t="shared" si="3"/>
        <v>514.70000000000005</v>
      </c>
      <c r="L7" s="8">
        <f t="shared" si="3"/>
        <v>563.59999999999991</v>
      </c>
      <c r="M7" s="8">
        <f t="shared" si="3"/>
        <v>599.69999999999993</v>
      </c>
      <c r="N7" s="8">
        <f t="shared" si="3"/>
        <v>565.1</v>
      </c>
      <c r="O7" s="8">
        <f t="shared" si="3"/>
        <v>871.7</v>
      </c>
      <c r="P7" s="8">
        <f t="shared" si="3"/>
        <v>727.4</v>
      </c>
      <c r="Q7" s="8">
        <f t="shared" si="3"/>
        <v>814.69999999999993</v>
      </c>
      <c r="R7" s="8">
        <f t="shared" si="3"/>
        <v>721.5</v>
      </c>
      <c r="S7" s="8">
        <f t="shared" si="3"/>
        <v>750.40000000000009</v>
      </c>
      <c r="T7" s="8">
        <f t="shared" si="3"/>
        <v>702.09999999999991</v>
      </c>
      <c r="U7" s="8">
        <f t="shared" si="3"/>
        <v>1677.9999999999998</v>
      </c>
      <c r="V7" s="8">
        <f t="shared" si="3"/>
        <v>2164.1999999999998</v>
      </c>
      <c r="W7" s="8">
        <f t="shared" si="3"/>
        <v>2286.6</v>
      </c>
      <c r="X7" s="8">
        <f t="shared" si="3"/>
        <v>6830.9</v>
      </c>
      <c r="Y7" s="8">
        <f t="shared" si="3"/>
        <v>126.30000000000001</v>
      </c>
      <c r="Z7" s="8">
        <f t="shared" si="3"/>
        <v>149.4</v>
      </c>
      <c r="AA7" s="8">
        <f t="shared" si="3"/>
        <v>346.5</v>
      </c>
      <c r="AB7" s="8">
        <f t="shared" si="3"/>
        <v>407.6</v>
      </c>
      <c r="AC7" s="8">
        <f t="shared" si="3"/>
        <v>413.6</v>
      </c>
      <c r="AD7" s="8">
        <f t="shared" si="3"/>
        <v>434</v>
      </c>
      <c r="AE7" s="8">
        <f t="shared" si="3"/>
        <v>517.5</v>
      </c>
      <c r="AF7" s="8">
        <f t="shared" si="3"/>
        <v>731.39999999999986</v>
      </c>
      <c r="AG7" s="8">
        <f t="shared" si="3"/>
        <v>601</v>
      </c>
      <c r="AH7" s="8">
        <f t="shared" si="3"/>
        <v>37.299999999999997</v>
      </c>
      <c r="AI7" s="8">
        <f t="shared" si="3"/>
        <v>20.8</v>
      </c>
      <c r="AJ7" s="8">
        <f t="shared" si="3"/>
        <v>39.5</v>
      </c>
      <c r="AK7" s="8">
        <f t="shared" si="3"/>
        <v>3824.9</v>
      </c>
      <c r="AL7" s="8">
        <f t="shared" si="3"/>
        <v>6169.5</v>
      </c>
      <c r="AM7" s="8">
        <f t="shared" si="1"/>
        <v>-661.39999999999964</v>
      </c>
      <c r="AN7" s="9">
        <f t="shared" si="2"/>
        <v>0.55994085698809826</v>
      </c>
      <c r="AO7" s="8">
        <f>SUBTOTAL(9,AO8:AO20)</f>
        <v>6528.5</v>
      </c>
      <c r="AP7" s="7"/>
      <c r="AQ7" s="10"/>
    </row>
    <row r="8" spans="1:43" outlineLevel="2" x14ac:dyDescent="0.45">
      <c r="A8" s="11" t="s">
        <v>56</v>
      </c>
      <c r="B8" s="11" t="s">
        <v>57</v>
      </c>
      <c r="C8" s="11" t="s">
        <v>58</v>
      </c>
      <c r="D8" s="11" t="s">
        <v>59</v>
      </c>
      <c r="E8" s="11" t="s">
        <v>60</v>
      </c>
      <c r="F8" s="11" t="s">
        <v>61</v>
      </c>
      <c r="G8" s="11" t="s">
        <v>62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f t="shared" ref="T8:T20" si="4">SUM(H8:J8)</f>
        <v>0</v>
      </c>
      <c r="U8" s="12">
        <f t="shared" ref="U8:U20" si="5">SUM(K8:M8)</f>
        <v>0</v>
      </c>
      <c r="V8" s="12">
        <f t="shared" ref="V8:V20" si="6">SUM(N8:P8)</f>
        <v>0</v>
      </c>
      <c r="W8" s="12">
        <f t="shared" ref="W8:W20" si="7">SUM(Q8:S8)</f>
        <v>0</v>
      </c>
      <c r="X8" s="12">
        <f t="shared" ref="X8:X20" si="8">SUM(T8:W8)</f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f t="shared" ref="AK8:AK20" si="9">SUM(Y8:AJ8)</f>
        <v>0</v>
      </c>
      <c r="AL8" s="12">
        <v>0</v>
      </c>
      <c r="AM8" s="12">
        <f t="shared" si="1"/>
        <v>0</v>
      </c>
      <c r="AN8" s="13">
        <f t="shared" si="2"/>
        <v>0</v>
      </c>
      <c r="AO8" s="12">
        <v>0</v>
      </c>
      <c r="AP8" s="11" t="s">
        <v>63</v>
      </c>
      <c r="AQ8" s="14"/>
    </row>
    <row r="9" spans="1:43" outlineLevel="2" x14ac:dyDescent="0.45">
      <c r="A9" s="11" t="s">
        <v>64</v>
      </c>
      <c r="B9" s="11" t="s">
        <v>65</v>
      </c>
      <c r="C9" s="11" t="s">
        <v>58</v>
      </c>
      <c r="D9" s="11" t="s">
        <v>59</v>
      </c>
      <c r="E9" s="11" t="s">
        <v>66</v>
      </c>
      <c r="F9" s="11" t="s">
        <v>67</v>
      </c>
      <c r="G9" s="11" t="s">
        <v>62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f t="shared" si="4"/>
        <v>0</v>
      </c>
      <c r="U9" s="12">
        <f t="shared" si="5"/>
        <v>0</v>
      </c>
      <c r="V9" s="12">
        <f t="shared" si="6"/>
        <v>0</v>
      </c>
      <c r="W9" s="12">
        <f t="shared" si="7"/>
        <v>0</v>
      </c>
      <c r="X9" s="12">
        <f t="shared" si="8"/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37.299999999999997</v>
      </c>
      <c r="AI9" s="12">
        <v>20.8</v>
      </c>
      <c r="AJ9" s="12">
        <v>39.5</v>
      </c>
      <c r="AK9" s="12">
        <f t="shared" si="9"/>
        <v>97.6</v>
      </c>
      <c r="AL9" s="12">
        <v>130.69999999999999</v>
      </c>
      <c r="AM9" s="12">
        <f t="shared" si="1"/>
        <v>130.69999999999999</v>
      </c>
      <c r="AN9" s="13">
        <f t="shared" si="2"/>
        <v>0</v>
      </c>
      <c r="AO9" s="12">
        <v>0</v>
      </c>
      <c r="AP9" s="11" t="s">
        <v>68</v>
      </c>
      <c r="AQ9" s="14"/>
    </row>
    <row r="10" spans="1:43" ht="28.5" outlineLevel="2" x14ac:dyDescent="0.45">
      <c r="A10" s="11" t="s">
        <v>69</v>
      </c>
      <c r="B10" s="11" t="s">
        <v>70</v>
      </c>
      <c r="C10" s="11" t="s">
        <v>71</v>
      </c>
      <c r="D10" s="11" t="s">
        <v>59</v>
      </c>
      <c r="E10" s="11" t="s">
        <v>72</v>
      </c>
      <c r="F10" s="11" t="s">
        <v>73</v>
      </c>
      <c r="G10" s="11" t="s">
        <v>62</v>
      </c>
      <c r="H10" s="12">
        <v>0</v>
      </c>
      <c r="I10" s="12">
        <v>0</v>
      </c>
      <c r="J10" s="12">
        <v>0</v>
      </c>
      <c r="K10" s="12">
        <v>0</v>
      </c>
      <c r="L10" s="12">
        <v>193.7</v>
      </c>
      <c r="M10" s="12">
        <v>93.8</v>
      </c>
      <c r="N10" s="12">
        <v>64.900000000000006</v>
      </c>
      <c r="O10" s="12">
        <v>169.2</v>
      </c>
      <c r="P10" s="12">
        <v>201.2</v>
      </c>
      <c r="Q10" s="12">
        <v>81.5</v>
      </c>
      <c r="R10" s="12">
        <v>158.6</v>
      </c>
      <c r="S10" s="12">
        <v>197.3</v>
      </c>
      <c r="T10" s="12">
        <f t="shared" si="4"/>
        <v>0</v>
      </c>
      <c r="U10" s="12">
        <f t="shared" si="5"/>
        <v>287.5</v>
      </c>
      <c r="V10" s="12">
        <f t="shared" si="6"/>
        <v>435.29999999999995</v>
      </c>
      <c r="W10" s="12">
        <f t="shared" si="7"/>
        <v>437.4</v>
      </c>
      <c r="X10" s="12">
        <f t="shared" si="8"/>
        <v>1160.1999999999998</v>
      </c>
      <c r="Y10" s="12">
        <v>0</v>
      </c>
      <c r="Z10" s="12">
        <v>0</v>
      </c>
      <c r="AA10" s="12">
        <v>0</v>
      </c>
      <c r="AB10" s="12">
        <v>0</v>
      </c>
      <c r="AC10" s="12">
        <v>123.2</v>
      </c>
      <c r="AD10" s="12">
        <v>75.8</v>
      </c>
      <c r="AE10" s="12">
        <v>59.7</v>
      </c>
      <c r="AF10" s="12">
        <v>154</v>
      </c>
      <c r="AG10" s="12">
        <v>210</v>
      </c>
      <c r="AH10" s="12">
        <v>0</v>
      </c>
      <c r="AI10" s="12">
        <v>0</v>
      </c>
      <c r="AJ10" s="12">
        <v>0</v>
      </c>
      <c r="AK10" s="12">
        <f t="shared" si="9"/>
        <v>622.70000000000005</v>
      </c>
      <c r="AL10" s="12">
        <v>1099.4000000000001</v>
      </c>
      <c r="AM10" s="12">
        <f t="shared" si="1"/>
        <v>-60.799999999999727</v>
      </c>
      <c r="AN10" s="13">
        <f t="shared" si="2"/>
        <v>0.53671780727460794</v>
      </c>
      <c r="AO10" s="12">
        <v>1232.0999999999999</v>
      </c>
      <c r="AP10" s="11" t="s">
        <v>74</v>
      </c>
      <c r="AQ10" s="14" t="s">
        <v>75</v>
      </c>
    </row>
    <row r="11" spans="1:43" ht="28.5" outlineLevel="2" x14ac:dyDescent="0.45">
      <c r="A11" s="11" t="s">
        <v>76</v>
      </c>
      <c r="B11" s="11" t="s">
        <v>77</v>
      </c>
      <c r="C11" s="11" t="s">
        <v>58</v>
      </c>
      <c r="D11" s="11" t="s">
        <v>59</v>
      </c>
      <c r="E11" s="11" t="s">
        <v>72</v>
      </c>
      <c r="F11" s="11" t="s">
        <v>78</v>
      </c>
      <c r="G11" s="11" t="s">
        <v>62</v>
      </c>
      <c r="H11" s="12">
        <v>0</v>
      </c>
      <c r="I11" s="12">
        <v>0</v>
      </c>
      <c r="J11" s="12">
        <v>0</v>
      </c>
      <c r="K11" s="12">
        <v>0</v>
      </c>
      <c r="L11" s="12">
        <v>21.8</v>
      </c>
      <c r="M11" s="12">
        <v>31.2</v>
      </c>
      <c r="N11" s="12">
        <v>36.700000000000003</v>
      </c>
      <c r="O11" s="12">
        <v>52.4</v>
      </c>
      <c r="P11" s="12">
        <v>59.4</v>
      </c>
      <c r="Q11" s="12">
        <v>47.3</v>
      </c>
      <c r="R11" s="12">
        <v>67.099999999999994</v>
      </c>
      <c r="S11" s="12">
        <v>68.900000000000006</v>
      </c>
      <c r="T11" s="12">
        <f t="shared" si="4"/>
        <v>0</v>
      </c>
      <c r="U11" s="12">
        <f t="shared" si="5"/>
        <v>53</v>
      </c>
      <c r="V11" s="12">
        <f t="shared" si="6"/>
        <v>148.5</v>
      </c>
      <c r="W11" s="12">
        <f t="shared" si="7"/>
        <v>183.3</v>
      </c>
      <c r="X11" s="12">
        <f t="shared" si="8"/>
        <v>384.8</v>
      </c>
      <c r="Y11" s="12">
        <v>0</v>
      </c>
      <c r="Z11" s="12">
        <v>0</v>
      </c>
      <c r="AA11" s="12">
        <v>0</v>
      </c>
      <c r="AB11" s="12">
        <v>0</v>
      </c>
      <c r="AC11" s="12">
        <v>20.2</v>
      </c>
      <c r="AD11" s="12">
        <v>31.3</v>
      </c>
      <c r="AE11" s="12">
        <v>20.7</v>
      </c>
      <c r="AF11" s="12">
        <v>45.1</v>
      </c>
      <c r="AG11" s="12">
        <v>41.5</v>
      </c>
      <c r="AH11" s="12">
        <v>0</v>
      </c>
      <c r="AI11" s="12">
        <v>0</v>
      </c>
      <c r="AJ11" s="12">
        <v>0</v>
      </c>
      <c r="AK11" s="12">
        <f t="shared" si="9"/>
        <v>158.80000000000001</v>
      </c>
      <c r="AL11" s="12">
        <v>323</v>
      </c>
      <c r="AM11" s="12">
        <f t="shared" si="1"/>
        <v>-61.800000000000011</v>
      </c>
      <c r="AN11" s="13">
        <f t="shared" si="2"/>
        <v>0.41268191268191268</v>
      </c>
      <c r="AO11" s="12">
        <v>122.9</v>
      </c>
      <c r="AP11" s="11" t="s">
        <v>79</v>
      </c>
      <c r="AQ11" s="14" t="s">
        <v>80</v>
      </c>
    </row>
    <row r="12" spans="1:43" outlineLevel="2" x14ac:dyDescent="0.45">
      <c r="A12" s="11" t="s">
        <v>81</v>
      </c>
      <c r="B12" s="11" t="s">
        <v>82</v>
      </c>
      <c r="C12" s="11" t="s">
        <v>71</v>
      </c>
      <c r="D12" s="11" t="s">
        <v>59</v>
      </c>
      <c r="E12" s="11" t="s">
        <v>60</v>
      </c>
      <c r="F12" s="11" t="s">
        <v>83</v>
      </c>
      <c r="G12" s="11" t="s">
        <v>84</v>
      </c>
      <c r="H12" s="12">
        <v>0</v>
      </c>
      <c r="I12" s="12">
        <v>0</v>
      </c>
      <c r="J12" s="12">
        <v>167.3</v>
      </c>
      <c r="K12" s="12">
        <v>222.6</v>
      </c>
      <c r="L12" s="12">
        <v>130.19999999999999</v>
      </c>
      <c r="M12" s="12">
        <v>189.9</v>
      </c>
      <c r="N12" s="12">
        <v>72.5</v>
      </c>
      <c r="O12" s="12">
        <v>211.6</v>
      </c>
      <c r="P12" s="12">
        <v>158.69999999999999</v>
      </c>
      <c r="Q12" s="12">
        <v>231.4</v>
      </c>
      <c r="R12" s="12">
        <v>89.2</v>
      </c>
      <c r="S12" s="12">
        <v>174.9</v>
      </c>
      <c r="T12" s="12">
        <f t="shared" si="4"/>
        <v>167.3</v>
      </c>
      <c r="U12" s="12">
        <f t="shared" si="5"/>
        <v>542.69999999999993</v>
      </c>
      <c r="V12" s="12">
        <f t="shared" si="6"/>
        <v>442.8</v>
      </c>
      <c r="W12" s="12">
        <f t="shared" si="7"/>
        <v>495.5</v>
      </c>
      <c r="X12" s="12">
        <f t="shared" si="8"/>
        <v>1648.3</v>
      </c>
      <c r="Y12" s="12">
        <v>0</v>
      </c>
      <c r="Z12" s="12">
        <v>0</v>
      </c>
      <c r="AA12" s="12">
        <v>139</v>
      </c>
      <c r="AB12" s="12">
        <v>137.30000000000001</v>
      </c>
      <c r="AC12" s="12">
        <v>124.1</v>
      </c>
      <c r="AD12" s="12">
        <v>137.5</v>
      </c>
      <c r="AE12" s="12">
        <v>61.2</v>
      </c>
      <c r="AF12" s="12">
        <v>139.69999999999999</v>
      </c>
      <c r="AG12" s="12">
        <v>115.9</v>
      </c>
      <c r="AH12" s="12">
        <v>0</v>
      </c>
      <c r="AI12" s="12">
        <v>0</v>
      </c>
      <c r="AJ12" s="12">
        <v>0</v>
      </c>
      <c r="AK12" s="12">
        <f t="shared" si="9"/>
        <v>854.69999999999993</v>
      </c>
      <c r="AL12" s="12">
        <v>1289</v>
      </c>
      <c r="AM12" s="12">
        <f t="shared" si="1"/>
        <v>-359.29999999999995</v>
      </c>
      <c r="AN12" s="13">
        <f t="shared" si="2"/>
        <v>0.51853424740641874</v>
      </c>
      <c r="AO12" s="12">
        <v>1289.2</v>
      </c>
      <c r="AP12" s="11" t="s">
        <v>85</v>
      </c>
      <c r="AQ12" s="14"/>
    </row>
    <row r="13" spans="1:43" outlineLevel="2" x14ac:dyDescent="0.45">
      <c r="A13" s="11" t="s">
        <v>86</v>
      </c>
      <c r="B13" s="11" t="s">
        <v>87</v>
      </c>
      <c r="C13" s="11" t="s">
        <v>88</v>
      </c>
      <c r="D13" s="11" t="s">
        <v>59</v>
      </c>
      <c r="E13" s="11" t="s">
        <v>60</v>
      </c>
      <c r="F13" s="11" t="s">
        <v>89</v>
      </c>
      <c r="G13" s="11" t="s">
        <v>90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f t="shared" si="4"/>
        <v>0</v>
      </c>
      <c r="U13" s="12">
        <f t="shared" si="5"/>
        <v>0</v>
      </c>
      <c r="V13" s="12">
        <f t="shared" si="6"/>
        <v>0</v>
      </c>
      <c r="W13" s="12">
        <f t="shared" si="7"/>
        <v>0</v>
      </c>
      <c r="X13" s="12">
        <f t="shared" si="8"/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f t="shared" si="9"/>
        <v>0</v>
      </c>
      <c r="AL13" s="12">
        <v>0</v>
      </c>
      <c r="AM13" s="12">
        <f t="shared" si="1"/>
        <v>0</v>
      </c>
      <c r="AN13" s="13">
        <f t="shared" si="2"/>
        <v>0</v>
      </c>
      <c r="AO13" s="12">
        <v>0</v>
      </c>
      <c r="AP13" s="11" t="s">
        <v>91</v>
      </c>
      <c r="AQ13" s="14"/>
    </row>
    <row r="14" spans="1:43" ht="28.5" outlineLevel="2" x14ac:dyDescent="0.45">
      <c r="A14" s="11" t="s">
        <v>92</v>
      </c>
      <c r="B14" s="11" t="s">
        <v>93</v>
      </c>
      <c r="C14" s="11" t="s">
        <v>94</v>
      </c>
      <c r="D14" s="11" t="s">
        <v>59</v>
      </c>
      <c r="E14" s="11" t="s">
        <v>60</v>
      </c>
      <c r="F14" s="11" t="s">
        <v>89</v>
      </c>
      <c r="G14" s="11" t="s">
        <v>95</v>
      </c>
      <c r="H14" s="12">
        <v>103.4</v>
      </c>
      <c r="I14" s="12">
        <v>61.1</v>
      </c>
      <c r="J14" s="12">
        <v>40</v>
      </c>
      <c r="K14" s="12">
        <v>88.6</v>
      </c>
      <c r="L14" s="12">
        <v>112.1</v>
      </c>
      <c r="M14" s="12">
        <v>91.7</v>
      </c>
      <c r="N14" s="12">
        <v>68.5</v>
      </c>
      <c r="O14" s="12">
        <v>130.80000000000001</v>
      </c>
      <c r="P14" s="12">
        <v>44.3</v>
      </c>
      <c r="Q14" s="12">
        <v>132.4</v>
      </c>
      <c r="R14" s="12">
        <v>107.9</v>
      </c>
      <c r="S14" s="12">
        <v>67.599999999999994</v>
      </c>
      <c r="T14" s="12">
        <f t="shared" si="4"/>
        <v>204.5</v>
      </c>
      <c r="U14" s="12">
        <f t="shared" si="5"/>
        <v>292.39999999999998</v>
      </c>
      <c r="V14" s="12">
        <f t="shared" si="6"/>
        <v>243.60000000000002</v>
      </c>
      <c r="W14" s="12">
        <f t="shared" si="7"/>
        <v>307.89999999999998</v>
      </c>
      <c r="X14" s="12">
        <f t="shared" si="8"/>
        <v>1048.4000000000001</v>
      </c>
      <c r="Y14" s="12">
        <v>105.4</v>
      </c>
      <c r="Z14" s="12">
        <v>40.200000000000003</v>
      </c>
      <c r="AA14" s="12">
        <v>45.8</v>
      </c>
      <c r="AB14" s="12">
        <v>94.9</v>
      </c>
      <c r="AC14" s="12">
        <v>75.099999999999994</v>
      </c>
      <c r="AD14" s="12">
        <v>52.1</v>
      </c>
      <c r="AE14" s="12">
        <v>48.2</v>
      </c>
      <c r="AF14" s="12">
        <v>78.5</v>
      </c>
      <c r="AG14" s="12">
        <v>24.5</v>
      </c>
      <c r="AH14" s="12">
        <v>0</v>
      </c>
      <c r="AI14" s="12">
        <v>0</v>
      </c>
      <c r="AJ14" s="12">
        <v>0</v>
      </c>
      <c r="AK14" s="12">
        <f t="shared" si="9"/>
        <v>564.70000000000005</v>
      </c>
      <c r="AL14" s="12">
        <v>862</v>
      </c>
      <c r="AM14" s="12">
        <f t="shared" si="1"/>
        <v>-186.40000000000009</v>
      </c>
      <c r="AN14" s="13">
        <f t="shared" si="2"/>
        <v>0.53863029378099958</v>
      </c>
      <c r="AO14" s="12">
        <v>1305.2</v>
      </c>
      <c r="AP14" s="11" t="s">
        <v>96</v>
      </c>
      <c r="AQ14" s="14" t="s">
        <v>97</v>
      </c>
    </row>
    <row r="15" spans="1:43" outlineLevel="2" x14ac:dyDescent="0.45">
      <c r="A15" s="11" t="s">
        <v>98</v>
      </c>
      <c r="B15" s="11" t="s">
        <v>99</v>
      </c>
      <c r="C15" s="11" t="s">
        <v>88</v>
      </c>
      <c r="D15" s="11" t="s">
        <v>59</v>
      </c>
      <c r="E15" s="11" t="s">
        <v>66</v>
      </c>
      <c r="F15" s="11" t="s">
        <v>100</v>
      </c>
      <c r="G15" s="11" t="s">
        <v>90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f t="shared" si="4"/>
        <v>0</v>
      </c>
      <c r="U15" s="12">
        <f t="shared" si="5"/>
        <v>0</v>
      </c>
      <c r="V15" s="12">
        <f t="shared" si="6"/>
        <v>0</v>
      </c>
      <c r="W15" s="12">
        <f t="shared" si="7"/>
        <v>0</v>
      </c>
      <c r="X15" s="12">
        <f t="shared" si="8"/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f t="shared" si="9"/>
        <v>0</v>
      </c>
      <c r="AL15" s="12">
        <v>0</v>
      </c>
      <c r="AM15" s="12">
        <f t="shared" si="1"/>
        <v>0</v>
      </c>
      <c r="AN15" s="13">
        <f t="shared" si="2"/>
        <v>0</v>
      </c>
      <c r="AO15" s="12">
        <v>0</v>
      </c>
      <c r="AP15" s="11" t="s">
        <v>101</v>
      </c>
      <c r="AQ15" s="14" t="s">
        <v>102</v>
      </c>
    </row>
    <row r="16" spans="1:43" outlineLevel="2" x14ac:dyDescent="0.45">
      <c r="A16" s="11" t="s">
        <v>103</v>
      </c>
      <c r="B16" s="11" t="s">
        <v>104</v>
      </c>
      <c r="C16" s="11" t="s">
        <v>88</v>
      </c>
      <c r="D16" s="11" t="s">
        <v>59</v>
      </c>
      <c r="E16" s="11" t="s">
        <v>66</v>
      </c>
      <c r="F16" s="11" t="s">
        <v>105</v>
      </c>
      <c r="G16" s="11" t="s">
        <v>84</v>
      </c>
      <c r="H16" s="12">
        <v>20.7</v>
      </c>
      <c r="I16" s="12">
        <v>18.7</v>
      </c>
      <c r="J16" s="12">
        <v>22.5</v>
      </c>
      <c r="K16" s="12">
        <v>19.100000000000001</v>
      </c>
      <c r="L16" s="12">
        <v>13.3</v>
      </c>
      <c r="M16" s="12">
        <v>14.2</v>
      </c>
      <c r="N16" s="12">
        <v>31.9</v>
      </c>
      <c r="O16" s="12">
        <v>31.3</v>
      </c>
      <c r="P16" s="12">
        <v>30.8</v>
      </c>
      <c r="Q16" s="12">
        <v>22.3</v>
      </c>
      <c r="R16" s="12">
        <v>16.3</v>
      </c>
      <c r="S16" s="12">
        <v>14.1</v>
      </c>
      <c r="T16" s="12">
        <f t="shared" si="4"/>
        <v>61.9</v>
      </c>
      <c r="U16" s="12">
        <f t="shared" si="5"/>
        <v>46.600000000000009</v>
      </c>
      <c r="V16" s="12">
        <f t="shared" si="6"/>
        <v>94</v>
      </c>
      <c r="W16" s="12">
        <f t="shared" si="7"/>
        <v>52.7</v>
      </c>
      <c r="X16" s="12">
        <f t="shared" si="8"/>
        <v>255.2</v>
      </c>
      <c r="Y16" s="12">
        <v>20.9</v>
      </c>
      <c r="Z16" s="12">
        <v>18.3</v>
      </c>
      <c r="AA16" s="12">
        <v>20</v>
      </c>
      <c r="AB16" s="12">
        <v>17.399999999999999</v>
      </c>
      <c r="AC16" s="12">
        <v>9.4</v>
      </c>
      <c r="AD16" s="12">
        <v>13.6</v>
      </c>
      <c r="AE16" s="12">
        <v>30.8</v>
      </c>
      <c r="AF16" s="12">
        <v>32.700000000000003</v>
      </c>
      <c r="AG16" s="12">
        <v>32.4</v>
      </c>
      <c r="AH16" s="12">
        <v>0</v>
      </c>
      <c r="AI16" s="12">
        <v>0</v>
      </c>
      <c r="AJ16" s="12">
        <v>0</v>
      </c>
      <c r="AK16" s="12">
        <f t="shared" si="9"/>
        <v>195.50000000000003</v>
      </c>
      <c r="AL16" s="12">
        <v>256</v>
      </c>
      <c r="AM16" s="12">
        <f t="shared" si="1"/>
        <v>0.80000000000001137</v>
      </c>
      <c r="AN16" s="13">
        <f t="shared" si="2"/>
        <v>0.76606583072100332</v>
      </c>
      <c r="AO16" s="12">
        <v>372.2</v>
      </c>
      <c r="AP16" s="11" t="s">
        <v>106</v>
      </c>
      <c r="AQ16" s="14"/>
    </row>
    <row r="17" spans="1:43" outlineLevel="2" x14ac:dyDescent="0.45">
      <c r="A17" s="11" t="s">
        <v>107</v>
      </c>
      <c r="B17" s="11" t="s">
        <v>108</v>
      </c>
      <c r="C17" s="11" t="s">
        <v>94</v>
      </c>
      <c r="D17" s="11" t="s">
        <v>59</v>
      </c>
      <c r="E17" s="11" t="s">
        <v>72</v>
      </c>
      <c r="F17" s="11" t="s">
        <v>100</v>
      </c>
      <c r="G17" s="11" t="s">
        <v>62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f t="shared" si="4"/>
        <v>0</v>
      </c>
      <c r="U17" s="12">
        <f t="shared" si="5"/>
        <v>0</v>
      </c>
      <c r="V17" s="12">
        <f t="shared" si="6"/>
        <v>0</v>
      </c>
      <c r="W17" s="12">
        <f t="shared" si="7"/>
        <v>0</v>
      </c>
      <c r="X17" s="12">
        <f t="shared" si="8"/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f t="shared" si="9"/>
        <v>0</v>
      </c>
      <c r="AL17" s="12">
        <v>0</v>
      </c>
      <c r="AM17" s="12">
        <f t="shared" si="1"/>
        <v>0</v>
      </c>
      <c r="AN17" s="13">
        <f t="shared" si="2"/>
        <v>0</v>
      </c>
      <c r="AO17" s="12">
        <v>0</v>
      </c>
      <c r="AP17" s="11" t="s">
        <v>109</v>
      </c>
      <c r="AQ17" s="14"/>
    </row>
    <row r="18" spans="1:43" outlineLevel="2" x14ac:dyDescent="0.45">
      <c r="A18" s="11" t="s">
        <v>110</v>
      </c>
      <c r="B18" s="11" t="s">
        <v>111</v>
      </c>
      <c r="C18" s="11" t="s">
        <v>88</v>
      </c>
      <c r="D18" s="11" t="s">
        <v>59</v>
      </c>
      <c r="E18" s="11" t="s">
        <v>72</v>
      </c>
      <c r="F18" s="11" t="s">
        <v>83</v>
      </c>
      <c r="G18" s="11" t="s">
        <v>84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55.3</v>
      </c>
      <c r="N18" s="12">
        <v>66</v>
      </c>
      <c r="O18" s="12">
        <v>59.1</v>
      </c>
      <c r="P18" s="12">
        <v>62.9</v>
      </c>
      <c r="Q18" s="12">
        <v>36.299999999999997</v>
      </c>
      <c r="R18" s="12">
        <v>37.4</v>
      </c>
      <c r="S18" s="12">
        <v>58.8</v>
      </c>
      <c r="T18" s="12">
        <f t="shared" si="4"/>
        <v>0</v>
      </c>
      <c r="U18" s="12">
        <f t="shared" si="5"/>
        <v>55.3</v>
      </c>
      <c r="V18" s="12">
        <f t="shared" si="6"/>
        <v>188</v>
      </c>
      <c r="W18" s="12">
        <f t="shared" si="7"/>
        <v>132.5</v>
      </c>
      <c r="X18" s="12">
        <f t="shared" si="8"/>
        <v>375.8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33.299999999999997</v>
      </c>
      <c r="AE18" s="12">
        <v>68.8</v>
      </c>
      <c r="AF18" s="12">
        <v>66.099999999999994</v>
      </c>
      <c r="AG18" s="12">
        <v>49.1</v>
      </c>
      <c r="AH18" s="12">
        <v>0</v>
      </c>
      <c r="AI18" s="12">
        <v>0</v>
      </c>
      <c r="AJ18" s="12">
        <v>0</v>
      </c>
      <c r="AK18" s="12">
        <f t="shared" si="9"/>
        <v>217.29999999999998</v>
      </c>
      <c r="AL18" s="12">
        <v>332.9</v>
      </c>
      <c r="AM18" s="12">
        <f t="shared" si="1"/>
        <v>-42.900000000000034</v>
      </c>
      <c r="AN18" s="13">
        <f t="shared" si="2"/>
        <v>0.57823310271420958</v>
      </c>
      <c r="AO18" s="12">
        <v>515.5</v>
      </c>
      <c r="AP18" s="11" t="s">
        <v>112</v>
      </c>
      <c r="AQ18" s="14"/>
    </row>
    <row r="19" spans="1:43" outlineLevel="2" x14ac:dyDescent="0.45">
      <c r="A19" s="11" t="s">
        <v>113</v>
      </c>
      <c r="B19" s="11" t="s">
        <v>114</v>
      </c>
      <c r="C19" s="11" t="s">
        <v>71</v>
      </c>
      <c r="D19" s="11" t="s">
        <v>59</v>
      </c>
      <c r="E19" s="11" t="s">
        <v>60</v>
      </c>
      <c r="F19" s="11" t="s">
        <v>115</v>
      </c>
      <c r="G19" s="11" t="s">
        <v>90</v>
      </c>
      <c r="H19" s="12">
        <v>0</v>
      </c>
      <c r="I19" s="12">
        <v>0</v>
      </c>
      <c r="J19" s="12">
        <v>0</v>
      </c>
      <c r="K19" s="12">
        <v>0</v>
      </c>
      <c r="L19" s="12">
        <v>8.5</v>
      </c>
      <c r="M19" s="12">
        <v>10.8</v>
      </c>
      <c r="N19" s="12">
        <v>11.8</v>
      </c>
      <c r="O19" s="12">
        <v>17.600000000000001</v>
      </c>
      <c r="P19" s="12">
        <v>10.7</v>
      </c>
      <c r="Q19" s="12">
        <v>24.9</v>
      </c>
      <c r="R19" s="12">
        <v>29.5</v>
      </c>
      <c r="S19" s="12">
        <v>13.2</v>
      </c>
      <c r="T19" s="12">
        <f t="shared" si="4"/>
        <v>0</v>
      </c>
      <c r="U19" s="12">
        <f t="shared" si="5"/>
        <v>19.3</v>
      </c>
      <c r="V19" s="12">
        <f t="shared" si="6"/>
        <v>40.1</v>
      </c>
      <c r="W19" s="12">
        <f t="shared" si="7"/>
        <v>67.599999999999994</v>
      </c>
      <c r="X19" s="12">
        <f t="shared" si="8"/>
        <v>127</v>
      </c>
      <c r="Y19" s="12">
        <v>0</v>
      </c>
      <c r="Z19" s="12">
        <v>0</v>
      </c>
      <c r="AA19" s="12">
        <v>0</v>
      </c>
      <c r="AB19" s="12">
        <v>0</v>
      </c>
      <c r="AC19" s="12">
        <v>6.3</v>
      </c>
      <c r="AD19" s="12">
        <v>8.6999999999999993</v>
      </c>
      <c r="AE19" s="12">
        <v>12.1</v>
      </c>
      <c r="AF19" s="12">
        <v>12.3</v>
      </c>
      <c r="AG19" s="12">
        <v>8.6999999999999993</v>
      </c>
      <c r="AH19" s="12">
        <v>0</v>
      </c>
      <c r="AI19" s="12">
        <v>0</v>
      </c>
      <c r="AJ19" s="12">
        <v>0</v>
      </c>
      <c r="AK19" s="12">
        <f t="shared" si="9"/>
        <v>48.100000000000009</v>
      </c>
      <c r="AL19" s="12">
        <v>107.9</v>
      </c>
      <c r="AM19" s="12">
        <f t="shared" si="1"/>
        <v>-19.099999999999994</v>
      </c>
      <c r="AN19" s="13">
        <f t="shared" si="2"/>
        <v>0.37874015748031503</v>
      </c>
      <c r="AO19" s="12">
        <v>186.1</v>
      </c>
      <c r="AP19" s="11" t="s">
        <v>116</v>
      </c>
      <c r="AQ19" s="14"/>
    </row>
    <row r="20" spans="1:43" ht="28.5" outlineLevel="2" x14ac:dyDescent="0.45">
      <c r="A20" s="11" t="s">
        <v>117</v>
      </c>
      <c r="B20" s="11" t="s">
        <v>118</v>
      </c>
      <c r="C20" s="11" t="s">
        <v>94</v>
      </c>
      <c r="D20" s="11" t="s">
        <v>59</v>
      </c>
      <c r="E20" s="11" t="s">
        <v>72</v>
      </c>
      <c r="F20" s="11" t="s">
        <v>119</v>
      </c>
      <c r="G20" s="11" t="s">
        <v>90</v>
      </c>
      <c r="H20" s="12">
        <v>0</v>
      </c>
      <c r="I20" s="12">
        <v>138.80000000000001</v>
      </c>
      <c r="J20" s="12">
        <v>129.6</v>
      </c>
      <c r="K20" s="12">
        <v>184.4</v>
      </c>
      <c r="L20" s="12">
        <v>84</v>
      </c>
      <c r="M20" s="12">
        <v>112.8</v>
      </c>
      <c r="N20" s="12">
        <v>212.8</v>
      </c>
      <c r="O20" s="12">
        <v>199.7</v>
      </c>
      <c r="P20" s="12">
        <v>159.4</v>
      </c>
      <c r="Q20" s="12">
        <v>238.6</v>
      </c>
      <c r="R20" s="12">
        <v>215.5</v>
      </c>
      <c r="S20" s="12">
        <v>155.6</v>
      </c>
      <c r="T20" s="12">
        <f t="shared" si="4"/>
        <v>268.39999999999998</v>
      </c>
      <c r="U20" s="12">
        <f t="shared" si="5"/>
        <v>381.2</v>
      </c>
      <c r="V20" s="12">
        <f t="shared" si="6"/>
        <v>571.9</v>
      </c>
      <c r="W20" s="12">
        <f t="shared" si="7"/>
        <v>609.70000000000005</v>
      </c>
      <c r="X20" s="12">
        <f t="shared" si="8"/>
        <v>1831.2</v>
      </c>
      <c r="Y20" s="12">
        <v>0</v>
      </c>
      <c r="Z20" s="12">
        <v>90.9</v>
      </c>
      <c r="AA20" s="12">
        <v>141.69999999999999</v>
      </c>
      <c r="AB20" s="12">
        <v>158</v>
      </c>
      <c r="AC20" s="12">
        <v>55.3</v>
      </c>
      <c r="AD20" s="12">
        <v>81.7</v>
      </c>
      <c r="AE20" s="12">
        <v>216</v>
      </c>
      <c r="AF20" s="12">
        <v>203</v>
      </c>
      <c r="AG20" s="12">
        <v>118.9</v>
      </c>
      <c r="AH20" s="12">
        <v>0</v>
      </c>
      <c r="AI20" s="12">
        <v>0</v>
      </c>
      <c r="AJ20" s="12">
        <v>0</v>
      </c>
      <c r="AK20" s="12">
        <f t="shared" si="9"/>
        <v>1065.5</v>
      </c>
      <c r="AL20" s="12">
        <v>1768.6</v>
      </c>
      <c r="AM20" s="12">
        <f t="shared" si="1"/>
        <v>-62.600000000000136</v>
      </c>
      <c r="AN20" s="13">
        <f t="shared" si="2"/>
        <v>0.58185889034512883</v>
      </c>
      <c r="AO20" s="12">
        <v>1505.3</v>
      </c>
      <c r="AP20" s="11" t="s">
        <v>120</v>
      </c>
      <c r="AQ20" s="14" t="s">
        <v>121</v>
      </c>
    </row>
    <row r="21" spans="1:43" outlineLevel="1" x14ac:dyDescent="0.45">
      <c r="A21" s="7" t="s">
        <v>122</v>
      </c>
      <c r="B21" s="7" t="s">
        <v>123</v>
      </c>
      <c r="C21" s="7"/>
      <c r="D21" s="7"/>
      <c r="E21" s="7"/>
      <c r="F21" s="7"/>
      <c r="G21" s="7"/>
      <c r="H21" s="8">
        <f t="shared" ref="H21:AL21" si="10">SUBTOTAL(9,H22:H30)</f>
        <v>0</v>
      </c>
      <c r="I21" s="8">
        <f t="shared" si="10"/>
        <v>0</v>
      </c>
      <c r="J21" s="8">
        <f t="shared" si="10"/>
        <v>84.8</v>
      </c>
      <c r="K21" s="8">
        <f t="shared" si="10"/>
        <v>144.5</v>
      </c>
      <c r="L21" s="8">
        <f t="shared" si="10"/>
        <v>313.10000000000002</v>
      </c>
      <c r="M21" s="8">
        <f t="shared" si="10"/>
        <v>454.89999999999992</v>
      </c>
      <c r="N21" s="8">
        <f t="shared" si="10"/>
        <v>386.1</v>
      </c>
      <c r="O21" s="8">
        <f t="shared" si="10"/>
        <v>472.8</v>
      </c>
      <c r="P21" s="8">
        <f t="shared" si="10"/>
        <v>531.79999999999995</v>
      </c>
      <c r="Q21" s="8">
        <f t="shared" si="10"/>
        <v>485.29999999999995</v>
      </c>
      <c r="R21" s="8">
        <f t="shared" si="10"/>
        <v>534</v>
      </c>
      <c r="S21" s="8">
        <f t="shared" si="10"/>
        <v>380.7</v>
      </c>
      <c r="T21" s="8">
        <f t="shared" si="10"/>
        <v>84.8</v>
      </c>
      <c r="U21" s="8">
        <f t="shared" si="10"/>
        <v>912.5</v>
      </c>
      <c r="V21" s="8">
        <f t="shared" si="10"/>
        <v>1390.7</v>
      </c>
      <c r="W21" s="8">
        <f t="shared" si="10"/>
        <v>1400</v>
      </c>
      <c r="X21" s="8">
        <f t="shared" si="10"/>
        <v>3788</v>
      </c>
      <c r="Y21" s="8">
        <f t="shared" si="10"/>
        <v>0</v>
      </c>
      <c r="Z21" s="8">
        <f t="shared" si="10"/>
        <v>0</v>
      </c>
      <c r="AA21" s="8">
        <f t="shared" si="10"/>
        <v>91.6</v>
      </c>
      <c r="AB21" s="8">
        <f t="shared" si="10"/>
        <v>145.19999999999999</v>
      </c>
      <c r="AC21" s="8">
        <f t="shared" si="10"/>
        <v>240.5</v>
      </c>
      <c r="AD21" s="8">
        <f t="shared" si="10"/>
        <v>455.8</v>
      </c>
      <c r="AE21" s="8">
        <f t="shared" si="10"/>
        <v>299.7</v>
      </c>
      <c r="AF21" s="8">
        <f t="shared" si="10"/>
        <v>387.4</v>
      </c>
      <c r="AG21" s="8">
        <f t="shared" si="10"/>
        <v>380.20000000000005</v>
      </c>
      <c r="AH21" s="8">
        <f t="shared" si="10"/>
        <v>0</v>
      </c>
      <c r="AI21" s="8">
        <f t="shared" si="10"/>
        <v>0</v>
      </c>
      <c r="AJ21" s="8">
        <f t="shared" si="10"/>
        <v>0</v>
      </c>
      <c r="AK21" s="8">
        <f t="shared" si="10"/>
        <v>2000.3999999999999</v>
      </c>
      <c r="AL21" s="8">
        <f t="shared" si="10"/>
        <v>3420.8999999999996</v>
      </c>
      <c r="AM21" s="8">
        <f t="shared" si="1"/>
        <v>-367.10000000000036</v>
      </c>
      <c r="AN21" s="9">
        <f t="shared" si="2"/>
        <v>0.52808870116156281</v>
      </c>
      <c r="AO21" s="8">
        <f>SUBTOTAL(9,AO22:AO30)</f>
        <v>2181.1999999999998</v>
      </c>
      <c r="AP21" s="7"/>
      <c r="AQ21" s="10"/>
    </row>
    <row r="22" spans="1:43" ht="28.5" outlineLevel="2" x14ac:dyDescent="0.45">
      <c r="A22" s="11" t="s">
        <v>124</v>
      </c>
      <c r="B22" s="11" t="s">
        <v>125</v>
      </c>
      <c r="C22" s="11" t="s">
        <v>94</v>
      </c>
      <c r="D22" s="11" t="s">
        <v>126</v>
      </c>
      <c r="E22" s="11" t="s">
        <v>66</v>
      </c>
      <c r="F22" s="11" t="s">
        <v>127</v>
      </c>
      <c r="G22" s="11" t="s">
        <v>84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68.900000000000006</v>
      </c>
      <c r="N22" s="12">
        <v>68.5</v>
      </c>
      <c r="O22" s="12">
        <v>53.7</v>
      </c>
      <c r="P22" s="12">
        <v>52.7</v>
      </c>
      <c r="Q22" s="12">
        <v>26.6</v>
      </c>
      <c r="R22" s="12">
        <v>61.4</v>
      </c>
      <c r="S22" s="12">
        <v>60.1</v>
      </c>
      <c r="T22" s="12">
        <f t="shared" ref="T22:T30" si="11">SUM(H22:J22)</f>
        <v>0</v>
      </c>
      <c r="U22" s="12">
        <f t="shared" ref="U22:U30" si="12">SUM(K22:M22)</f>
        <v>68.900000000000006</v>
      </c>
      <c r="V22" s="12">
        <f t="shared" ref="V22:V30" si="13">SUM(N22:P22)</f>
        <v>174.9</v>
      </c>
      <c r="W22" s="12">
        <f t="shared" ref="W22:W30" si="14">SUM(Q22:S22)</f>
        <v>148.1</v>
      </c>
      <c r="X22" s="12">
        <f t="shared" ref="X22:X30" si="15">SUM(T22:W22)</f>
        <v>391.9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67.8</v>
      </c>
      <c r="AE22" s="12">
        <v>60.4</v>
      </c>
      <c r="AF22" s="12">
        <v>30</v>
      </c>
      <c r="AG22" s="12">
        <v>50.4</v>
      </c>
      <c r="AH22" s="12">
        <v>0</v>
      </c>
      <c r="AI22" s="12">
        <v>0</v>
      </c>
      <c r="AJ22" s="12">
        <v>0</v>
      </c>
      <c r="AK22" s="12">
        <f t="shared" ref="AK22:AK30" si="16">SUM(Y22:AJ22)</f>
        <v>208.6</v>
      </c>
      <c r="AL22" s="12">
        <v>337.8</v>
      </c>
      <c r="AM22" s="12">
        <f t="shared" si="1"/>
        <v>-54.099999999999966</v>
      </c>
      <c r="AN22" s="13">
        <f t="shared" si="2"/>
        <v>0.53227864251084467</v>
      </c>
      <c r="AO22" s="12">
        <v>66.3</v>
      </c>
      <c r="AP22" s="11" t="s">
        <v>128</v>
      </c>
      <c r="AQ22" s="14" t="s">
        <v>80</v>
      </c>
    </row>
    <row r="23" spans="1:43" ht="28.5" outlineLevel="2" x14ac:dyDescent="0.45">
      <c r="A23" s="11" t="s">
        <v>129</v>
      </c>
      <c r="B23" s="11" t="s">
        <v>130</v>
      </c>
      <c r="C23" s="11" t="s">
        <v>88</v>
      </c>
      <c r="D23" s="11" t="s">
        <v>126</v>
      </c>
      <c r="E23" s="11" t="s">
        <v>66</v>
      </c>
      <c r="F23" s="11" t="s">
        <v>83</v>
      </c>
      <c r="G23" s="11" t="s">
        <v>84</v>
      </c>
      <c r="H23" s="12">
        <v>0</v>
      </c>
      <c r="I23" s="12">
        <v>0</v>
      </c>
      <c r="J23" s="12">
        <v>0</v>
      </c>
      <c r="K23" s="12">
        <v>0</v>
      </c>
      <c r="L23" s="12">
        <v>111.7</v>
      </c>
      <c r="M23" s="12">
        <v>71.8</v>
      </c>
      <c r="N23" s="12">
        <v>67.8</v>
      </c>
      <c r="O23" s="12">
        <v>48.8</v>
      </c>
      <c r="P23" s="12">
        <v>91.6</v>
      </c>
      <c r="Q23" s="12">
        <v>97.6</v>
      </c>
      <c r="R23" s="12">
        <v>109.7</v>
      </c>
      <c r="S23" s="12">
        <v>78.5</v>
      </c>
      <c r="T23" s="12">
        <f t="shared" si="11"/>
        <v>0</v>
      </c>
      <c r="U23" s="12">
        <f t="shared" si="12"/>
        <v>183.5</v>
      </c>
      <c r="V23" s="12">
        <f t="shared" si="13"/>
        <v>208.2</v>
      </c>
      <c r="W23" s="12">
        <f t="shared" si="14"/>
        <v>285.8</v>
      </c>
      <c r="X23" s="12">
        <f t="shared" si="15"/>
        <v>677.5</v>
      </c>
      <c r="Y23" s="12">
        <v>0</v>
      </c>
      <c r="Z23" s="12">
        <v>0</v>
      </c>
      <c r="AA23" s="12">
        <v>0</v>
      </c>
      <c r="AB23" s="12">
        <v>0</v>
      </c>
      <c r="AC23" s="12">
        <v>94</v>
      </c>
      <c r="AD23" s="12">
        <v>59.2</v>
      </c>
      <c r="AE23" s="12">
        <v>63.1</v>
      </c>
      <c r="AF23" s="12">
        <v>48.2</v>
      </c>
      <c r="AG23" s="12">
        <v>65.400000000000006</v>
      </c>
      <c r="AH23" s="12">
        <v>0</v>
      </c>
      <c r="AI23" s="12">
        <v>0</v>
      </c>
      <c r="AJ23" s="12">
        <v>0</v>
      </c>
      <c r="AK23" s="12">
        <f t="shared" si="16"/>
        <v>329.9</v>
      </c>
      <c r="AL23" s="12">
        <v>627</v>
      </c>
      <c r="AM23" s="12">
        <f t="shared" si="1"/>
        <v>-50.5</v>
      </c>
      <c r="AN23" s="13">
        <f t="shared" si="2"/>
        <v>0.48693726937269372</v>
      </c>
      <c r="AO23" s="12">
        <v>162.19999999999999</v>
      </c>
      <c r="AP23" s="11" t="s">
        <v>131</v>
      </c>
      <c r="AQ23" s="14" t="s">
        <v>80</v>
      </c>
    </row>
    <row r="24" spans="1:43" outlineLevel="2" x14ac:dyDescent="0.45">
      <c r="A24" s="11" t="s">
        <v>132</v>
      </c>
      <c r="B24" s="11" t="s">
        <v>133</v>
      </c>
      <c r="C24" s="11" t="s">
        <v>134</v>
      </c>
      <c r="D24" s="11" t="s">
        <v>126</v>
      </c>
      <c r="E24" s="11" t="s">
        <v>60</v>
      </c>
      <c r="F24" s="11" t="s">
        <v>89</v>
      </c>
      <c r="G24" s="11" t="s">
        <v>90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f t="shared" si="11"/>
        <v>0</v>
      </c>
      <c r="U24" s="12">
        <f t="shared" si="12"/>
        <v>0</v>
      </c>
      <c r="V24" s="12">
        <f t="shared" si="13"/>
        <v>0</v>
      </c>
      <c r="W24" s="12">
        <f t="shared" si="14"/>
        <v>0</v>
      </c>
      <c r="X24" s="12">
        <f t="shared" si="15"/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f t="shared" si="16"/>
        <v>0</v>
      </c>
      <c r="AL24" s="12">
        <v>0</v>
      </c>
      <c r="AM24" s="12">
        <f t="shared" si="1"/>
        <v>0</v>
      </c>
      <c r="AN24" s="13">
        <f t="shared" si="2"/>
        <v>0</v>
      </c>
      <c r="AO24" s="12">
        <v>0</v>
      </c>
      <c r="AP24" s="11" t="s">
        <v>135</v>
      </c>
      <c r="AQ24" s="14"/>
    </row>
    <row r="25" spans="1:43" outlineLevel="2" x14ac:dyDescent="0.45">
      <c r="A25" s="11" t="s">
        <v>136</v>
      </c>
      <c r="B25" s="11" t="s">
        <v>137</v>
      </c>
      <c r="C25" s="11" t="s">
        <v>134</v>
      </c>
      <c r="D25" s="11" t="s">
        <v>126</v>
      </c>
      <c r="E25" s="11" t="s">
        <v>66</v>
      </c>
      <c r="F25" s="11" t="s">
        <v>138</v>
      </c>
      <c r="G25" s="11" t="s">
        <v>90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132.6</v>
      </c>
      <c r="N25" s="12">
        <v>76.900000000000006</v>
      </c>
      <c r="O25" s="12">
        <v>123.9</v>
      </c>
      <c r="P25" s="12">
        <v>139.6</v>
      </c>
      <c r="Q25" s="12">
        <v>135.19999999999999</v>
      </c>
      <c r="R25" s="12">
        <v>123.6</v>
      </c>
      <c r="S25" s="12">
        <v>125.8</v>
      </c>
      <c r="T25" s="12">
        <f t="shared" si="11"/>
        <v>0</v>
      </c>
      <c r="U25" s="12">
        <f t="shared" si="12"/>
        <v>132.6</v>
      </c>
      <c r="V25" s="12">
        <f t="shared" si="13"/>
        <v>340.4</v>
      </c>
      <c r="W25" s="12">
        <f t="shared" si="14"/>
        <v>384.59999999999997</v>
      </c>
      <c r="X25" s="12">
        <f t="shared" si="15"/>
        <v>857.59999999999991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144.6</v>
      </c>
      <c r="AE25" s="12">
        <v>74.2</v>
      </c>
      <c r="AF25" s="12">
        <v>86.5</v>
      </c>
      <c r="AG25" s="12">
        <v>115.8</v>
      </c>
      <c r="AH25" s="12">
        <v>0</v>
      </c>
      <c r="AI25" s="12">
        <v>0</v>
      </c>
      <c r="AJ25" s="12">
        <v>0</v>
      </c>
      <c r="AK25" s="12">
        <f t="shared" si="16"/>
        <v>421.1</v>
      </c>
      <c r="AL25" s="12">
        <v>880.9</v>
      </c>
      <c r="AM25" s="12">
        <f t="shared" si="1"/>
        <v>23.300000000000068</v>
      </c>
      <c r="AN25" s="13">
        <f t="shared" si="2"/>
        <v>0.49102145522388069</v>
      </c>
      <c r="AO25" s="12">
        <v>1142.4000000000001</v>
      </c>
      <c r="AP25" s="11" t="s">
        <v>139</v>
      </c>
      <c r="AQ25" s="14"/>
    </row>
    <row r="26" spans="1:43" outlineLevel="2" x14ac:dyDescent="0.45">
      <c r="A26" s="11" t="s">
        <v>140</v>
      </c>
      <c r="B26" s="11" t="s">
        <v>141</v>
      </c>
      <c r="C26" s="11" t="s">
        <v>71</v>
      </c>
      <c r="D26" s="11" t="s">
        <v>126</v>
      </c>
      <c r="E26" s="11" t="s">
        <v>66</v>
      </c>
      <c r="F26" s="11" t="s">
        <v>142</v>
      </c>
      <c r="G26" s="11" t="s">
        <v>84</v>
      </c>
      <c r="H26" s="12">
        <v>0</v>
      </c>
      <c r="I26" s="12">
        <v>0</v>
      </c>
      <c r="J26" s="12">
        <v>84.8</v>
      </c>
      <c r="K26" s="12">
        <v>117.5</v>
      </c>
      <c r="L26" s="12">
        <v>170.3</v>
      </c>
      <c r="M26" s="12">
        <v>152.19999999999999</v>
      </c>
      <c r="N26" s="12">
        <v>154.1</v>
      </c>
      <c r="O26" s="12">
        <v>235.9</v>
      </c>
      <c r="P26" s="12">
        <v>234.9</v>
      </c>
      <c r="Q26" s="12">
        <v>203.4</v>
      </c>
      <c r="R26" s="12">
        <v>218.5</v>
      </c>
      <c r="S26" s="12">
        <v>94.6</v>
      </c>
      <c r="T26" s="12">
        <f t="shared" si="11"/>
        <v>84.8</v>
      </c>
      <c r="U26" s="12">
        <f t="shared" si="12"/>
        <v>440</v>
      </c>
      <c r="V26" s="12">
        <f t="shared" si="13"/>
        <v>624.9</v>
      </c>
      <c r="W26" s="12">
        <f t="shared" si="14"/>
        <v>516.5</v>
      </c>
      <c r="X26" s="12">
        <f t="shared" si="15"/>
        <v>1666.1999999999998</v>
      </c>
      <c r="Y26" s="12">
        <v>0</v>
      </c>
      <c r="Z26" s="12">
        <v>0</v>
      </c>
      <c r="AA26" s="12">
        <v>91.6</v>
      </c>
      <c r="AB26" s="12">
        <v>117.8</v>
      </c>
      <c r="AC26" s="12">
        <v>126.3</v>
      </c>
      <c r="AD26" s="12">
        <v>150.69999999999999</v>
      </c>
      <c r="AE26" s="12">
        <v>86.5</v>
      </c>
      <c r="AF26" s="12">
        <v>212.3</v>
      </c>
      <c r="AG26" s="12">
        <v>136.30000000000001</v>
      </c>
      <c r="AH26" s="12">
        <v>0</v>
      </c>
      <c r="AI26" s="12">
        <v>0</v>
      </c>
      <c r="AJ26" s="12">
        <v>0</v>
      </c>
      <c r="AK26" s="12">
        <f t="shared" si="16"/>
        <v>921.5</v>
      </c>
      <c r="AL26" s="12">
        <v>1387.7</v>
      </c>
      <c r="AM26" s="12">
        <f t="shared" si="1"/>
        <v>-278.49999999999977</v>
      </c>
      <c r="AN26" s="13">
        <f t="shared" si="2"/>
        <v>0.55305485535950072</v>
      </c>
      <c r="AO26" s="12">
        <v>675.3</v>
      </c>
      <c r="AP26" s="11" t="s">
        <v>143</v>
      </c>
      <c r="AQ26" s="14"/>
    </row>
    <row r="27" spans="1:43" hidden="1" outlineLevel="2" x14ac:dyDescent="0.45">
      <c r="A27" s="11" t="s">
        <v>144</v>
      </c>
      <c r="B27" s="11" t="s">
        <v>145</v>
      </c>
      <c r="C27" s="11" t="s">
        <v>58</v>
      </c>
      <c r="D27" s="11" t="s">
        <v>126</v>
      </c>
      <c r="E27" s="11" t="s">
        <v>66</v>
      </c>
      <c r="F27" s="11" t="s">
        <v>61</v>
      </c>
      <c r="G27" s="11" t="s">
        <v>90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f t="shared" si="11"/>
        <v>0</v>
      </c>
      <c r="U27" s="12">
        <f t="shared" si="12"/>
        <v>0</v>
      </c>
      <c r="V27" s="12">
        <f t="shared" si="13"/>
        <v>0</v>
      </c>
      <c r="W27" s="12">
        <f t="shared" si="14"/>
        <v>0</v>
      </c>
      <c r="X27" s="12">
        <f t="shared" si="15"/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f t="shared" si="16"/>
        <v>0</v>
      </c>
      <c r="AL27" s="12">
        <v>0</v>
      </c>
      <c r="AM27" s="12">
        <f t="shared" si="1"/>
        <v>0</v>
      </c>
      <c r="AN27" s="13">
        <f t="shared" si="2"/>
        <v>0</v>
      </c>
      <c r="AO27" s="12">
        <v>131.80000000000001</v>
      </c>
      <c r="AP27" s="11" t="s">
        <v>146</v>
      </c>
      <c r="AQ27" s="14" t="s">
        <v>147</v>
      </c>
    </row>
    <row r="28" spans="1:43" outlineLevel="2" x14ac:dyDescent="0.45">
      <c r="A28" s="11" t="s">
        <v>148</v>
      </c>
      <c r="B28" s="11" t="s">
        <v>149</v>
      </c>
      <c r="C28" s="11" t="s">
        <v>58</v>
      </c>
      <c r="D28" s="11" t="s">
        <v>126</v>
      </c>
      <c r="E28" s="11" t="s">
        <v>60</v>
      </c>
      <c r="F28" s="11" t="s">
        <v>127</v>
      </c>
      <c r="G28" s="11" t="s">
        <v>84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f t="shared" si="11"/>
        <v>0</v>
      </c>
      <c r="U28" s="12">
        <f t="shared" si="12"/>
        <v>0</v>
      </c>
      <c r="V28" s="12">
        <f t="shared" si="13"/>
        <v>0</v>
      </c>
      <c r="W28" s="12">
        <f t="shared" si="14"/>
        <v>0</v>
      </c>
      <c r="X28" s="12">
        <f t="shared" si="15"/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f t="shared" si="16"/>
        <v>0</v>
      </c>
      <c r="AL28" s="12">
        <v>0</v>
      </c>
      <c r="AM28" s="12">
        <f t="shared" si="1"/>
        <v>0</v>
      </c>
      <c r="AN28" s="13">
        <f t="shared" si="2"/>
        <v>0</v>
      </c>
      <c r="AO28" s="12">
        <v>0</v>
      </c>
      <c r="AP28" s="11" t="s">
        <v>150</v>
      </c>
      <c r="AQ28" s="14"/>
    </row>
    <row r="29" spans="1:43" outlineLevel="2" x14ac:dyDescent="0.45">
      <c r="A29" s="11" t="s">
        <v>151</v>
      </c>
      <c r="B29" s="11" t="s">
        <v>152</v>
      </c>
      <c r="C29" s="11" t="s">
        <v>94</v>
      </c>
      <c r="D29" s="11" t="s">
        <v>126</v>
      </c>
      <c r="E29" s="11" t="s">
        <v>60</v>
      </c>
      <c r="F29" s="11" t="s">
        <v>89</v>
      </c>
      <c r="G29" s="11" t="s">
        <v>84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f t="shared" si="11"/>
        <v>0</v>
      </c>
      <c r="U29" s="12">
        <f t="shared" si="12"/>
        <v>0</v>
      </c>
      <c r="V29" s="12">
        <f t="shared" si="13"/>
        <v>0</v>
      </c>
      <c r="W29" s="12">
        <f t="shared" si="14"/>
        <v>0</v>
      </c>
      <c r="X29" s="12">
        <f t="shared" si="15"/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f t="shared" si="16"/>
        <v>0</v>
      </c>
      <c r="AL29" s="12">
        <v>0</v>
      </c>
      <c r="AM29" s="12">
        <f t="shared" si="1"/>
        <v>0</v>
      </c>
      <c r="AN29" s="13">
        <f t="shared" si="2"/>
        <v>0</v>
      </c>
      <c r="AO29" s="12">
        <v>0</v>
      </c>
      <c r="AP29" s="11" t="s">
        <v>153</v>
      </c>
      <c r="AQ29" s="14" t="s">
        <v>154</v>
      </c>
    </row>
    <row r="30" spans="1:43" outlineLevel="2" x14ac:dyDescent="0.45">
      <c r="A30" s="11" t="s">
        <v>155</v>
      </c>
      <c r="B30" s="11" t="s">
        <v>156</v>
      </c>
      <c r="C30" s="11" t="s">
        <v>94</v>
      </c>
      <c r="D30" s="11" t="s">
        <v>126</v>
      </c>
      <c r="E30" s="11" t="s">
        <v>66</v>
      </c>
      <c r="F30" s="11" t="s">
        <v>100</v>
      </c>
      <c r="G30" s="11" t="s">
        <v>90</v>
      </c>
      <c r="H30" s="12">
        <v>0</v>
      </c>
      <c r="I30" s="12">
        <v>0</v>
      </c>
      <c r="J30" s="12">
        <v>0</v>
      </c>
      <c r="K30" s="12">
        <v>27</v>
      </c>
      <c r="L30" s="12">
        <v>31.1</v>
      </c>
      <c r="M30" s="12">
        <v>29.4</v>
      </c>
      <c r="N30" s="12">
        <v>18.8</v>
      </c>
      <c r="O30" s="12">
        <v>10.5</v>
      </c>
      <c r="P30" s="12">
        <v>13</v>
      </c>
      <c r="Q30" s="12">
        <v>22.5</v>
      </c>
      <c r="R30" s="12">
        <v>20.8</v>
      </c>
      <c r="S30" s="12">
        <v>21.7</v>
      </c>
      <c r="T30" s="12">
        <f t="shared" si="11"/>
        <v>0</v>
      </c>
      <c r="U30" s="12">
        <f t="shared" si="12"/>
        <v>87.5</v>
      </c>
      <c r="V30" s="12">
        <f t="shared" si="13"/>
        <v>42.3</v>
      </c>
      <c r="W30" s="12">
        <f t="shared" si="14"/>
        <v>65</v>
      </c>
      <c r="X30" s="12">
        <f t="shared" si="15"/>
        <v>194.8</v>
      </c>
      <c r="Y30" s="12">
        <v>0</v>
      </c>
      <c r="Z30" s="12">
        <v>0</v>
      </c>
      <c r="AA30" s="12">
        <v>0</v>
      </c>
      <c r="AB30" s="12">
        <v>27.4</v>
      </c>
      <c r="AC30" s="12">
        <v>20.2</v>
      </c>
      <c r="AD30" s="12">
        <v>33.5</v>
      </c>
      <c r="AE30" s="12">
        <v>15.5</v>
      </c>
      <c r="AF30" s="12">
        <v>10.4</v>
      </c>
      <c r="AG30" s="12">
        <v>12.3</v>
      </c>
      <c r="AH30" s="12">
        <v>0</v>
      </c>
      <c r="AI30" s="12">
        <v>0</v>
      </c>
      <c r="AJ30" s="12">
        <v>0</v>
      </c>
      <c r="AK30" s="12">
        <f t="shared" si="16"/>
        <v>119.3</v>
      </c>
      <c r="AL30" s="12">
        <v>187.5</v>
      </c>
      <c r="AM30" s="12">
        <f t="shared" si="1"/>
        <v>-7.3000000000000114</v>
      </c>
      <c r="AN30" s="13">
        <f t="shared" si="2"/>
        <v>0.61242299794661181</v>
      </c>
      <c r="AO30" s="12">
        <v>3.2</v>
      </c>
      <c r="AP30" s="11" t="s">
        <v>157</v>
      </c>
      <c r="AQ30" s="14"/>
    </row>
    <row r="31" spans="1:43" outlineLevel="1" x14ac:dyDescent="0.45">
      <c r="A31" s="7" t="s">
        <v>158</v>
      </c>
      <c r="B31" s="7" t="s">
        <v>159</v>
      </c>
      <c r="C31" s="7"/>
      <c r="D31" s="7"/>
      <c r="E31" s="7"/>
      <c r="F31" s="7"/>
      <c r="G31" s="7"/>
      <c r="H31" s="8">
        <f t="shared" ref="H31:AL31" si="17">SUBTOTAL(9,H32:H41)</f>
        <v>106.89999999999999</v>
      </c>
      <c r="I31" s="8">
        <f t="shared" si="17"/>
        <v>121.8</v>
      </c>
      <c r="J31" s="8">
        <f t="shared" si="17"/>
        <v>113.6</v>
      </c>
      <c r="K31" s="8">
        <f t="shared" si="17"/>
        <v>222.9</v>
      </c>
      <c r="L31" s="8">
        <f t="shared" si="17"/>
        <v>245.79999999999998</v>
      </c>
      <c r="M31" s="8">
        <f t="shared" si="17"/>
        <v>353.20000000000005</v>
      </c>
      <c r="N31" s="8">
        <f t="shared" si="17"/>
        <v>347.4</v>
      </c>
      <c r="O31" s="8">
        <f t="shared" si="17"/>
        <v>283.60000000000002</v>
      </c>
      <c r="P31" s="8">
        <f t="shared" si="17"/>
        <v>263.40000000000003</v>
      </c>
      <c r="Q31" s="8">
        <f t="shared" si="17"/>
        <v>354.5</v>
      </c>
      <c r="R31" s="8">
        <f t="shared" si="17"/>
        <v>304</v>
      </c>
      <c r="S31" s="8">
        <f t="shared" si="17"/>
        <v>346</v>
      </c>
      <c r="T31" s="8">
        <f t="shared" si="17"/>
        <v>342.29999999999995</v>
      </c>
      <c r="U31" s="8">
        <f t="shared" si="17"/>
        <v>821.9</v>
      </c>
      <c r="V31" s="8">
        <f t="shared" si="17"/>
        <v>894.40000000000009</v>
      </c>
      <c r="W31" s="8">
        <f t="shared" si="17"/>
        <v>1004.5</v>
      </c>
      <c r="X31" s="8">
        <f t="shared" si="17"/>
        <v>3063.0999999999995</v>
      </c>
      <c r="Y31" s="8">
        <f t="shared" si="17"/>
        <v>97.1</v>
      </c>
      <c r="Z31" s="8">
        <f t="shared" si="17"/>
        <v>123.1</v>
      </c>
      <c r="AA31" s="8">
        <f t="shared" si="17"/>
        <v>97.9</v>
      </c>
      <c r="AB31" s="8">
        <f t="shared" si="17"/>
        <v>200.8</v>
      </c>
      <c r="AC31" s="8">
        <f t="shared" si="17"/>
        <v>186.89999999999998</v>
      </c>
      <c r="AD31" s="8">
        <f t="shared" si="17"/>
        <v>363.9</v>
      </c>
      <c r="AE31" s="8">
        <f t="shared" si="17"/>
        <v>284.60000000000002</v>
      </c>
      <c r="AF31" s="8">
        <f t="shared" si="17"/>
        <v>217.3</v>
      </c>
      <c r="AG31" s="8">
        <f t="shared" si="17"/>
        <v>208.90000000000003</v>
      </c>
      <c r="AH31" s="8">
        <f t="shared" si="17"/>
        <v>33.700000000000003</v>
      </c>
      <c r="AI31" s="8">
        <f t="shared" si="17"/>
        <v>8.6</v>
      </c>
      <c r="AJ31" s="8">
        <f t="shared" si="17"/>
        <v>15.8</v>
      </c>
      <c r="AK31" s="8">
        <f t="shared" si="17"/>
        <v>1838.6000000000001</v>
      </c>
      <c r="AL31" s="8">
        <f t="shared" si="17"/>
        <v>2816.2</v>
      </c>
      <c r="AM31" s="8">
        <f t="shared" si="1"/>
        <v>-246.89999999999964</v>
      </c>
      <c r="AN31" s="9">
        <f t="shared" si="2"/>
        <v>0.60024158532205951</v>
      </c>
      <c r="AO31" s="8">
        <f>SUBTOTAL(9,AO32:AO41)</f>
        <v>2316.1</v>
      </c>
      <c r="AP31" s="7"/>
      <c r="AQ31" s="10"/>
    </row>
    <row r="32" spans="1:43" outlineLevel="2" x14ac:dyDescent="0.45">
      <c r="A32" s="11" t="s">
        <v>160</v>
      </c>
      <c r="B32" s="11" t="s">
        <v>161</v>
      </c>
      <c r="C32" s="11" t="s">
        <v>71</v>
      </c>
      <c r="D32" s="11" t="s">
        <v>59</v>
      </c>
      <c r="E32" s="11" t="s">
        <v>66</v>
      </c>
      <c r="F32" s="11" t="s">
        <v>89</v>
      </c>
      <c r="G32" s="11" t="s">
        <v>62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f t="shared" ref="T32:T41" si="18">SUM(H32:J32)</f>
        <v>0</v>
      </c>
      <c r="U32" s="12">
        <f t="shared" ref="U32:U41" si="19">SUM(K32:M32)</f>
        <v>0</v>
      </c>
      <c r="V32" s="12">
        <f t="shared" ref="V32:V41" si="20">SUM(N32:P32)</f>
        <v>0</v>
      </c>
      <c r="W32" s="12">
        <f t="shared" ref="W32:W41" si="21">SUM(Q32:S32)</f>
        <v>0</v>
      </c>
      <c r="X32" s="12">
        <f t="shared" ref="X32:X41" si="22">SUM(T32:W32)</f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f t="shared" ref="AK32:AK41" si="23">SUM(Y32:AJ32)</f>
        <v>0</v>
      </c>
      <c r="AL32" s="12">
        <v>0</v>
      </c>
      <c r="AM32" s="12">
        <f t="shared" si="1"/>
        <v>0</v>
      </c>
      <c r="AN32" s="13">
        <f t="shared" si="2"/>
        <v>0</v>
      </c>
      <c r="AO32" s="12">
        <v>0</v>
      </c>
      <c r="AP32" s="11" t="s">
        <v>162</v>
      </c>
      <c r="AQ32" s="14" t="s">
        <v>102</v>
      </c>
    </row>
    <row r="33" spans="1:43" outlineLevel="2" x14ac:dyDescent="0.45">
      <c r="A33" s="11" t="s">
        <v>163</v>
      </c>
      <c r="B33" s="11" t="s">
        <v>164</v>
      </c>
      <c r="C33" s="11" t="s">
        <v>58</v>
      </c>
      <c r="D33" s="11" t="s">
        <v>59</v>
      </c>
      <c r="E33" s="11" t="s">
        <v>66</v>
      </c>
      <c r="F33" s="11" t="s">
        <v>78</v>
      </c>
      <c r="G33" s="11" t="s">
        <v>90</v>
      </c>
      <c r="H33" s="12">
        <v>0</v>
      </c>
      <c r="I33" s="12">
        <v>0</v>
      </c>
      <c r="J33" s="12">
        <v>0</v>
      </c>
      <c r="K33" s="12">
        <v>22.8</v>
      </c>
      <c r="L33" s="12">
        <v>30.6</v>
      </c>
      <c r="M33" s="12">
        <v>38.299999999999997</v>
      </c>
      <c r="N33" s="12">
        <v>19.7</v>
      </c>
      <c r="O33" s="12">
        <v>31</v>
      </c>
      <c r="P33" s="12">
        <v>43.4</v>
      </c>
      <c r="Q33" s="12">
        <v>61.1</v>
      </c>
      <c r="R33" s="12">
        <v>34.9</v>
      </c>
      <c r="S33" s="12">
        <v>26.7</v>
      </c>
      <c r="T33" s="12">
        <f t="shared" si="18"/>
        <v>0</v>
      </c>
      <c r="U33" s="12">
        <f t="shared" si="19"/>
        <v>91.7</v>
      </c>
      <c r="V33" s="12">
        <f t="shared" si="20"/>
        <v>94.1</v>
      </c>
      <c r="W33" s="12">
        <f t="shared" si="21"/>
        <v>122.7</v>
      </c>
      <c r="X33" s="12">
        <f t="shared" si="22"/>
        <v>308.5</v>
      </c>
      <c r="Y33" s="12">
        <v>0</v>
      </c>
      <c r="Z33" s="12">
        <v>0</v>
      </c>
      <c r="AA33" s="12">
        <v>0</v>
      </c>
      <c r="AB33" s="12">
        <v>24.8</v>
      </c>
      <c r="AC33" s="12">
        <v>34.4</v>
      </c>
      <c r="AD33" s="12">
        <v>38.6</v>
      </c>
      <c r="AE33" s="12">
        <v>20</v>
      </c>
      <c r="AF33" s="12">
        <v>19.5</v>
      </c>
      <c r="AG33" s="12">
        <v>30.6</v>
      </c>
      <c r="AH33" s="12">
        <v>0</v>
      </c>
      <c r="AI33" s="12">
        <v>0</v>
      </c>
      <c r="AJ33" s="12">
        <v>0</v>
      </c>
      <c r="AK33" s="12">
        <f t="shared" si="23"/>
        <v>167.9</v>
      </c>
      <c r="AL33" s="12">
        <v>287.89999999999998</v>
      </c>
      <c r="AM33" s="12">
        <f t="shared" si="1"/>
        <v>-20.600000000000023</v>
      </c>
      <c r="AN33" s="13">
        <f t="shared" si="2"/>
        <v>0.54424635332252835</v>
      </c>
      <c r="AO33" s="12">
        <v>188.3</v>
      </c>
      <c r="AP33" s="11" t="s">
        <v>165</v>
      </c>
      <c r="AQ33" s="14"/>
    </row>
    <row r="34" spans="1:43" ht="28.5" outlineLevel="2" x14ac:dyDescent="0.45">
      <c r="A34" s="11" t="s">
        <v>166</v>
      </c>
      <c r="B34" s="11" t="s">
        <v>167</v>
      </c>
      <c r="C34" s="11" t="s">
        <v>134</v>
      </c>
      <c r="D34" s="11" t="s">
        <v>59</v>
      </c>
      <c r="E34" s="11" t="s">
        <v>60</v>
      </c>
      <c r="F34" s="11" t="s">
        <v>168</v>
      </c>
      <c r="G34" s="11" t="s">
        <v>95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60.5</v>
      </c>
      <c r="N34" s="12">
        <v>65.7</v>
      </c>
      <c r="O34" s="12">
        <v>98.3</v>
      </c>
      <c r="P34" s="12">
        <v>71.400000000000006</v>
      </c>
      <c r="Q34" s="12">
        <v>67.599999999999994</v>
      </c>
      <c r="R34" s="12">
        <v>72.599999999999994</v>
      </c>
      <c r="S34" s="12">
        <v>66.599999999999994</v>
      </c>
      <c r="T34" s="12">
        <f t="shared" si="18"/>
        <v>0</v>
      </c>
      <c r="U34" s="12">
        <f t="shared" si="19"/>
        <v>60.5</v>
      </c>
      <c r="V34" s="12">
        <f t="shared" si="20"/>
        <v>235.4</v>
      </c>
      <c r="W34" s="12">
        <f t="shared" si="21"/>
        <v>206.79999999999998</v>
      </c>
      <c r="X34" s="12">
        <f t="shared" si="22"/>
        <v>502.69999999999993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60.6</v>
      </c>
      <c r="AE34" s="12">
        <v>54.1</v>
      </c>
      <c r="AF34" s="12">
        <v>77.900000000000006</v>
      </c>
      <c r="AG34" s="12">
        <v>56.1</v>
      </c>
      <c r="AH34" s="12">
        <v>0</v>
      </c>
      <c r="AI34" s="12">
        <v>0</v>
      </c>
      <c r="AJ34" s="12">
        <v>0</v>
      </c>
      <c r="AK34" s="12">
        <f t="shared" si="23"/>
        <v>248.70000000000002</v>
      </c>
      <c r="AL34" s="12">
        <v>451.6</v>
      </c>
      <c r="AM34" s="12">
        <f t="shared" si="1"/>
        <v>-51.099999999999909</v>
      </c>
      <c r="AN34" s="13">
        <f t="shared" si="2"/>
        <v>0.4947284662820769</v>
      </c>
      <c r="AO34" s="12">
        <v>272</v>
      </c>
      <c r="AP34" s="11" t="s">
        <v>169</v>
      </c>
      <c r="AQ34" s="14" t="s">
        <v>75</v>
      </c>
    </row>
    <row r="35" spans="1:43" outlineLevel="2" x14ac:dyDescent="0.45">
      <c r="A35" s="11" t="s">
        <v>170</v>
      </c>
      <c r="B35" s="11" t="s">
        <v>171</v>
      </c>
      <c r="C35" s="11" t="s">
        <v>134</v>
      </c>
      <c r="D35" s="11" t="s">
        <v>59</v>
      </c>
      <c r="E35" s="11" t="s">
        <v>66</v>
      </c>
      <c r="F35" s="11" t="s">
        <v>172</v>
      </c>
      <c r="G35" s="11" t="s">
        <v>95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f t="shared" si="18"/>
        <v>0</v>
      </c>
      <c r="U35" s="12">
        <f t="shared" si="19"/>
        <v>0</v>
      </c>
      <c r="V35" s="12">
        <f t="shared" si="20"/>
        <v>0</v>
      </c>
      <c r="W35" s="12">
        <f t="shared" si="21"/>
        <v>0</v>
      </c>
      <c r="X35" s="12">
        <f t="shared" si="22"/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33.700000000000003</v>
      </c>
      <c r="AI35" s="12">
        <v>8.6</v>
      </c>
      <c r="AJ35" s="12">
        <v>15.8</v>
      </c>
      <c r="AK35" s="12">
        <f t="shared" si="23"/>
        <v>58.100000000000009</v>
      </c>
      <c r="AL35" s="12">
        <v>117.4</v>
      </c>
      <c r="AM35" s="12">
        <f t="shared" si="1"/>
        <v>117.4</v>
      </c>
      <c r="AN35" s="13">
        <f t="shared" si="2"/>
        <v>0</v>
      </c>
      <c r="AO35" s="12">
        <v>0</v>
      </c>
      <c r="AP35" s="11" t="s">
        <v>173</v>
      </c>
      <c r="AQ35" s="14"/>
    </row>
    <row r="36" spans="1:43" ht="28.5" outlineLevel="2" x14ac:dyDescent="0.45">
      <c r="A36" s="11" t="s">
        <v>174</v>
      </c>
      <c r="B36" s="11" t="s">
        <v>175</v>
      </c>
      <c r="C36" s="11" t="s">
        <v>94</v>
      </c>
      <c r="D36" s="11" t="s">
        <v>59</v>
      </c>
      <c r="E36" s="11" t="s">
        <v>66</v>
      </c>
      <c r="F36" s="11" t="s">
        <v>176</v>
      </c>
      <c r="G36" s="11" t="s">
        <v>90</v>
      </c>
      <c r="H36" s="12">
        <v>0</v>
      </c>
      <c r="I36" s="12">
        <v>0</v>
      </c>
      <c r="J36" s="12">
        <v>0</v>
      </c>
      <c r="K36" s="12">
        <v>13</v>
      </c>
      <c r="L36" s="12">
        <v>23.8</v>
      </c>
      <c r="M36" s="12">
        <v>25.7</v>
      </c>
      <c r="N36" s="12">
        <v>23.9</v>
      </c>
      <c r="O36" s="12">
        <v>12.2</v>
      </c>
      <c r="P36" s="12">
        <v>23.3</v>
      </c>
      <c r="Q36" s="12">
        <v>23.8</v>
      </c>
      <c r="R36" s="12">
        <v>25.6</v>
      </c>
      <c r="S36" s="12">
        <v>20</v>
      </c>
      <c r="T36" s="12">
        <f t="shared" si="18"/>
        <v>0</v>
      </c>
      <c r="U36" s="12">
        <f t="shared" si="19"/>
        <v>62.5</v>
      </c>
      <c r="V36" s="12">
        <f t="shared" si="20"/>
        <v>59.399999999999991</v>
      </c>
      <c r="W36" s="12">
        <f t="shared" si="21"/>
        <v>69.400000000000006</v>
      </c>
      <c r="X36" s="12">
        <f t="shared" si="22"/>
        <v>191.3</v>
      </c>
      <c r="Y36" s="12">
        <v>0</v>
      </c>
      <c r="Z36" s="12">
        <v>0</v>
      </c>
      <c r="AA36" s="12">
        <v>0</v>
      </c>
      <c r="AB36" s="12">
        <v>8.1</v>
      </c>
      <c r="AC36" s="12">
        <v>18.100000000000001</v>
      </c>
      <c r="AD36" s="12">
        <v>20.8</v>
      </c>
      <c r="AE36" s="12">
        <v>24.9</v>
      </c>
      <c r="AF36" s="12">
        <v>7.9</v>
      </c>
      <c r="AG36" s="12">
        <v>20.100000000000001</v>
      </c>
      <c r="AH36" s="12">
        <v>0</v>
      </c>
      <c r="AI36" s="12">
        <v>0</v>
      </c>
      <c r="AJ36" s="12">
        <v>0</v>
      </c>
      <c r="AK36" s="12">
        <f t="shared" si="23"/>
        <v>99.9</v>
      </c>
      <c r="AL36" s="12">
        <v>160.9</v>
      </c>
      <c r="AM36" s="12">
        <f t="shared" si="1"/>
        <v>-30.400000000000006</v>
      </c>
      <c r="AN36" s="13">
        <f t="shared" si="2"/>
        <v>0.52221641400940932</v>
      </c>
      <c r="AO36" s="12">
        <v>112.5</v>
      </c>
      <c r="AP36" s="11" t="s">
        <v>177</v>
      </c>
      <c r="AQ36" s="14" t="s">
        <v>97</v>
      </c>
    </row>
    <row r="37" spans="1:43" hidden="1" outlineLevel="2" x14ac:dyDescent="0.45">
      <c r="A37" s="11" t="s">
        <v>178</v>
      </c>
      <c r="B37" s="11" t="s">
        <v>179</v>
      </c>
      <c r="C37" s="11" t="s">
        <v>94</v>
      </c>
      <c r="D37" s="11" t="s">
        <v>59</v>
      </c>
      <c r="E37" s="11" t="s">
        <v>66</v>
      </c>
      <c r="F37" s="11" t="s">
        <v>138</v>
      </c>
      <c r="G37" s="11" t="s">
        <v>84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f t="shared" si="18"/>
        <v>0</v>
      </c>
      <c r="U37" s="12">
        <f t="shared" si="19"/>
        <v>0</v>
      </c>
      <c r="V37" s="12">
        <f t="shared" si="20"/>
        <v>0</v>
      </c>
      <c r="W37" s="12">
        <f t="shared" si="21"/>
        <v>0</v>
      </c>
      <c r="X37" s="12">
        <f t="shared" si="22"/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f t="shared" si="23"/>
        <v>0</v>
      </c>
      <c r="AL37" s="12">
        <v>0</v>
      </c>
      <c r="AM37" s="12">
        <f t="shared" si="1"/>
        <v>0</v>
      </c>
      <c r="AN37" s="13">
        <f t="shared" si="2"/>
        <v>0</v>
      </c>
      <c r="AO37" s="12">
        <v>14.5</v>
      </c>
      <c r="AP37" s="11" t="s">
        <v>180</v>
      </c>
      <c r="AQ37" s="14" t="s">
        <v>147</v>
      </c>
    </row>
    <row r="38" spans="1:43" hidden="1" outlineLevel="2" x14ac:dyDescent="0.45">
      <c r="A38" s="11" t="s">
        <v>181</v>
      </c>
      <c r="B38" s="11" t="s">
        <v>182</v>
      </c>
      <c r="C38" s="11" t="s">
        <v>134</v>
      </c>
      <c r="D38" s="11" t="s">
        <v>59</v>
      </c>
      <c r="E38" s="11" t="s">
        <v>60</v>
      </c>
      <c r="F38" s="11" t="s">
        <v>89</v>
      </c>
      <c r="G38" s="11" t="s">
        <v>84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f t="shared" si="18"/>
        <v>0</v>
      </c>
      <c r="U38" s="12">
        <f t="shared" si="19"/>
        <v>0</v>
      </c>
      <c r="V38" s="12">
        <f t="shared" si="20"/>
        <v>0</v>
      </c>
      <c r="W38" s="12">
        <f t="shared" si="21"/>
        <v>0</v>
      </c>
      <c r="X38" s="12">
        <f t="shared" si="22"/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f t="shared" si="23"/>
        <v>0</v>
      </c>
      <c r="AL38" s="12">
        <v>0</v>
      </c>
      <c r="AM38" s="12">
        <f t="shared" ref="AM38:AM69" si="24">AL38-X38</f>
        <v>0</v>
      </c>
      <c r="AN38" s="13">
        <f t="shared" ref="AN38:AN69" si="25">IF(X38=0,0,AK38/X38)</f>
        <v>0</v>
      </c>
      <c r="AO38" s="12">
        <v>236.6</v>
      </c>
      <c r="AP38" s="11" t="s">
        <v>183</v>
      </c>
      <c r="AQ38" s="14" t="s">
        <v>147</v>
      </c>
    </row>
    <row r="39" spans="1:43" outlineLevel="2" x14ac:dyDescent="0.45">
      <c r="A39" s="11" t="s">
        <v>184</v>
      </c>
      <c r="B39" s="11" t="s">
        <v>185</v>
      </c>
      <c r="C39" s="11" t="s">
        <v>134</v>
      </c>
      <c r="D39" s="11" t="s">
        <v>59</v>
      </c>
      <c r="E39" s="11" t="s">
        <v>72</v>
      </c>
      <c r="F39" s="11" t="s">
        <v>83</v>
      </c>
      <c r="G39" s="11" t="s">
        <v>84</v>
      </c>
      <c r="H39" s="12">
        <v>0</v>
      </c>
      <c r="I39" s="12">
        <v>21.6</v>
      </c>
      <c r="J39" s="12">
        <v>18.2</v>
      </c>
      <c r="K39" s="12">
        <v>26.1</v>
      </c>
      <c r="L39" s="12">
        <v>69</v>
      </c>
      <c r="M39" s="12">
        <v>41.3</v>
      </c>
      <c r="N39" s="12">
        <v>64</v>
      </c>
      <c r="O39" s="12">
        <v>62.1</v>
      </c>
      <c r="P39" s="12">
        <v>51.4</v>
      </c>
      <c r="Q39" s="12">
        <v>39.799999999999997</v>
      </c>
      <c r="R39" s="12">
        <v>30.4</v>
      </c>
      <c r="S39" s="12">
        <v>45.4</v>
      </c>
      <c r="T39" s="12">
        <f t="shared" si="18"/>
        <v>39.799999999999997</v>
      </c>
      <c r="U39" s="12">
        <f t="shared" si="19"/>
        <v>136.39999999999998</v>
      </c>
      <c r="V39" s="12">
        <f t="shared" si="20"/>
        <v>177.5</v>
      </c>
      <c r="W39" s="12">
        <f t="shared" si="21"/>
        <v>115.6</v>
      </c>
      <c r="X39" s="12">
        <f t="shared" si="22"/>
        <v>469.29999999999995</v>
      </c>
      <c r="Y39" s="12">
        <v>0</v>
      </c>
      <c r="Z39" s="12">
        <v>19.5</v>
      </c>
      <c r="AA39" s="12">
        <v>13.3</v>
      </c>
      <c r="AB39" s="12">
        <v>20.7</v>
      </c>
      <c r="AC39" s="12">
        <v>58.6</v>
      </c>
      <c r="AD39" s="12">
        <v>32.9</v>
      </c>
      <c r="AE39" s="12">
        <v>52</v>
      </c>
      <c r="AF39" s="12">
        <v>42.1</v>
      </c>
      <c r="AG39" s="12">
        <v>39.299999999999997</v>
      </c>
      <c r="AH39" s="12">
        <v>0</v>
      </c>
      <c r="AI39" s="12">
        <v>0</v>
      </c>
      <c r="AJ39" s="12">
        <v>0</v>
      </c>
      <c r="AK39" s="12">
        <f t="shared" si="23"/>
        <v>278.39999999999998</v>
      </c>
      <c r="AL39" s="12">
        <v>373.9</v>
      </c>
      <c r="AM39" s="12">
        <f t="shared" si="24"/>
        <v>-95.399999999999977</v>
      </c>
      <c r="AN39" s="13">
        <f t="shared" si="25"/>
        <v>0.59322395056467081</v>
      </c>
      <c r="AO39" s="12">
        <v>430.7</v>
      </c>
      <c r="AP39" s="11" t="s">
        <v>186</v>
      </c>
      <c r="AQ39" s="14"/>
    </row>
    <row r="40" spans="1:43" outlineLevel="2" x14ac:dyDescent="0.45">
      <c r="A40" s="11" t="s">
        <v>187</v>
      </c>
      <c r="B40" s="11" t="s">
        <v>188</v>
      </c>
      <c r="C40" s="11" t="s">
        <v>134</v>
      </c>
      <c r="D40" s="11" t="s">
        <v>59</v>
      </c>
      <c r="E40" s="11" t="s">
        <v>66</v>
      </c>
      <c r="F40" s="11" t="s">
        <v>115</v>
      </c>
      <c r="G40" s="11" t="s">
        <v>84</v>
      </c>
      <c r="H40" s="12">
        <v>34.299999999999997</v>
      </c>
      <c r="I40" s="12">
        <v>40.4</v>
      </c>
      <c r="J40" s="12">
        <v>31.3</v>
      </c>
      <c r="K40" s="12">
        <v>51</v>
      </c>
      <c r="L40" s="12">
        <v>71.3</v>
      </c>
      <c r="M40" s="12">
        <v>52.6</v>
      </c>
      <c r="N40" s="12">
        <v>58.2</v>
      </c>
      <c r="O40" s="12">
        <v>37.200000000000003</v>
      </c>
      <c r="P40" s="12">
        <v>26.4</v>
      </c>
      <c r="Q40" s="12">
        <v>25.8</v>
      </c>
      <c r="R40" s="12">
        <v>53.9</v>
      </c>
      <c r="S40" s="12">
        <v>69</v>
      </c>
      <c r="T40" s="12">
        <f t="shared" si="18"/>
        <v>105.99999999999999</v>
      </c>
      <c r="U40" s="12">
        <f t="shared" si="19"/>
        <v>174.9</v>
      </c>
      <c r="V40" s="12">
        <f t="shared" si="20"/>
        <v>121.80000000000001</v>
      </c>
      <c r="W40" s="12">
        <f t="shared" si="21"/>
        <v>148.69999999999999</v>
      </c>
      <c r="X40" s="12">
        <f t="shared" si="22"/>
        <v>551.4</v>
      </c>
      <c r="Y40" s="12">
        <v>38.799999999999997</v>
      </c>
      <c r="Z40" s="12">
        <v>36.799999999999997</v>
      </c>
      <c r="AA40" s="12">
        <v>23.1</v>
      </c>
      <c r="AB40" s="12">
        <v>55.7</v>
      </c>
      <c r="AC40" s="12">
        <v>43.5</v>
      </c>
      <c r="AD40" s="12">
        <v>57.8</v>
      </c>
      <c r="AE40" s="12">
        <v>55.1</v>
      </c>
      <c r="AF40" s="12">
        <v>33.700000000000003</v>
      </c>
      <c r="AG40" s="12">
        <v>28.9</v>
      </c>
      <c r="AH40" s="12">
        <v>0</v>
      </c>
      <c r="AI40" s="12">
        <v>0</v>
      </c>
      <c r="AJ40" s="12">
        <v>0</v>
      </c>
      <c r="AK40" s="12">
        <f t="shared" si="23"/>
        <v>373.4</v>
      </c>
      <c r="AL40" s="12">
        <v>535.6</v>
      </c>
      <c r="AM40" s="12">
        <f t="shared" si="24"/>
        <v>-15.799999999999955</v>
      </c>
      <c r="AN40" s="13">
        <f t="shared" si="25"/>
        <v>0.67718534639100469</v>
      </c>
      <c r="AO40" s="12">
        <v>529</v>
      </c>
      <c r="AP40" s="11" t="s">
        <v>189</v>
      </c>
      <c r="AQ40" s="14"/>
    </row>
    <row r="41" spans="1:43" outlineLevel="2" x14ac:dyDescent="0.45">
      <c r="A41" s="11" t="s">
        <v>190</v>
      </c>
      <c r="B41" s="11" t="s">
        <v>191</v>
      </c>
      <c r="C41" s="11" t="s">
        <v>71</v>
      </c>
      <c r="D41" s="11" t="s">
        <v>59</v>
      </c>
      <c r="E41" s="11" t="s">
        <v>66</v>
      </c>
      <c r="F41" s="11" t="s">
        <v>100</v>
      </c>
      <c r="G41" s="11" t="s">
        <v>90</v>
      </c>
      <c r="H41" s="12">
        <v>72.599999999999994</v>
      </c>
      <c r="I41" s="12">
        <v>59.8</v>
      </c>
      <c r="J41" s="12">
        <v>64.099999999999994</v>
      </c>
      <c r="K41" s="12">
        <v>110</v>
      </c>
      <c r="L41" s="12">
        <v>51.1</v>
      </c>
      <c r="M41" s="12">
        <v>134.80000000000001</v>
      </c>
      <c r="N41" s="12">
        <v>115.9</v>
      </c>
      <c r="O41" s="12">
        <v>42.8</v>
      </c>
      <c r="P41" s="12">
        <v>47.5</v>
      </c>
      <c r="Q41" s="12">
        <v>136.4</v>
      </c>
      <c r="R41" s="12">
        <v>86.6</v>
      </c>
      <c r="S41" s="12">
        <v>118.3</v>
      </c>
      <c r="T41" s="12">
        <f t="shared" si="18"/>
        <v>196.49999999999997</v>
      </c>
      <c r="U41" s="12">
        <f t="shared" si="19"/>
        <v>295.89999999999998</v>
      </c>
      <c r="V41" s="12">
        <f t="shared" si="20"/>
        <v>206.2</v>
      </c>
      <c r="W41" s="12">
        <f t="shared" si="21"/>
        <v>341.3</v>
      </c>
      <c r="X41" s="12">
        <f t="shared" si="22"/>
        <v>1039.8999999999999</v>
      </c>
      <c r="Y41" s="12">
        <v>58.3</v>
      </c>
      <c r="Z41" s="12">
        <v>66.8</v>
      </c>
      <c r="AA41" s="12">
        <v>61.5</v>
      </c>
      <c r="AB41" s="12">
        <v>91.5</v>
      </c>
      <c r="AC41" s="12">
        <v>32.299999999999997</v>
      </c>
      <c r="AD41" s="12">
        <v>153.19999999999999</v>
      </c>
      <c r="AE41" s="12">
        <v>78.5</v>
      </c>
      <c r="AF41" s="12">
        <v>36.200000000000003</v>
      </c>
      <c r="AG41" s="12">
        <v>33.9</v>
      </c>
      <c r="AH41" s="12">
        <v>0</v>
      </c>
      <c r="AI41" s="12">
        <v>0</v>
      </c>
      <c r="AJ41" s="12">
        <v>0</v>
      </c>
      <c r="AK41" s="12">
        <f t="shared" si="23"/>
        <v>612.20000000000005</v>
      </c>
      <c r="AL41" s="12">
        <v>888.9</v>
      </c>
      <c r="AM41" s="12">
        <f t="shared" si="24"/>
        <v>-150.99999999999989</v>
      </c>
      <c r="AN41" s="13">
        <f t="shared" si="25"/>
        <v>0.58871045292816626</v>
      </c>
      <c r="AO41" s="12">
        <v>532.5</v>
      </c>
      <c r="AP41" s="11" t="s">
        <v>192</v>
      </c>
      <c r="AQ41" s="14"/>
    </row>
    <row r="42" spans="1:43" ht="15.75" x14ac:dyDescent="0.5">
      <c r="A42" s="3" t="s">
        <v>193</v>
      </c>
      <c r="B42" s="3" t="s">
        <v>194</v>
      </c>
      <c r="C42" s="3"/>
      <c r="D42" s="3"/>
      <c r="E42" s="3"/>
      <c r="F42" s="3"/>
      <c r="G42" s="3"/>
      <c r="H42" s="4">
        <f t="shared" ref="H42:AL42" si="26">SUBTOTAL(9,H43:H66)</f>
        <v>471.79999999999995</v>
      </c>
      <c r="I42" s="4">
        <f t="shared" si="26"/>
        <v>501.6</v>
      </c>
      <c r="J42" s="4">
        <f t="shared" si="26"/>
        <v>1001.0999999999999</v>
      </c>
      <c r="K42" s="4">
        <f t="shared" si="26"/>
        <v>952.50000000000011</v>
      </c>
      <c r="L42" s="4">
        <f t="shared" si="26"/>
        <v>1036.4000000000001</v>
      </c>
      <c r="M42" s="4">
        <f t="shared" si="26"/>
        <v>1126</v>
      </c>
      <c r="N42" s="4">
        <f t="shared" si="26"/>
        <v>1195.7</v>
      </c>
      <c r="O42" s="4">
        <f t="shared" si="26"/>
        <v>979.30000000000007</v>
      </c>
      <c r="P42" s="4">
        <f t="shared" si="26"/>
        <v>1112.4999999999998</v>
      </c>
      <c r="Q42" s="4">
        <f t="shared" si="26"/>
        <v>1368.6</v>
      </c>
      <c r="R42" s="4">
        <f t="shared" si="26"/>
        <v>1074.7</v>
      </c>
      <c r="S42" s="4">
        <f t="shared" si="26"/>
        <v>1533.3999999999996</v>
      </c>
      <c r="T42" s="4">
        <f t="shared" si="26"/>
        <v>1974.5</v>
      </c>
      <c r="U42" s="4">
        <f t="shared" si="26"/>
        <v>3114.9</v>
      </c>
      <c r="V42" s="4">
        <f t="shared" si="26"/>
        <v>3287.5</v>
      </c>
      <c r="W42" s="4">
        <f t="shared" si="26"/>
        <v>3976.7</v>
      </c>
      <c r="X42" s="4">
        <f t="shared" si="26"/>
        <v>12353.600000000002</v>
      </c>
      <c r="Y42" s="4">
        <f t="shared" si="26"/>
        <v>316.5</v>
      </c>
      <c r="Z42" s="4">
        <f t="shared" si="26"/>
        <v>376</v>
      </c>
      <c r="AA42" s="4">
        <f t="shared" si="26"/>
        <v>904.90000000000009</v>
      </c>
      <c r="AB42" s="4">
        <f t="shared" si="26"/>
        <v>772.7</v>
      </c>
      <c r="AC42" s="4">
        <f t="shared" si="26"/>
        <v>846.5</v>
      </c>
      <c r="AD42" s="4">
        <f t="shared" si="26"/>
        <v>1014.2999999999998</v>
      </c>
      <c r="AE42" s="4">
        <f t="shared" si="26"/>
        <v>963.99999999999989</v>
      </c>
      <c r="AF42" s="4">
        <f t="shared" si="26"/>
        <v>810.4</v>
      </c>
      <c r="AG42" s="4">
        <f t="shared" si="26"/>
        <v>895.40000000000009</v>
      </c>
      <c r="AH42" s="4">
        <f t="shared" si="26"/>
        <v>0</v>
      </c>
      <c r="AI42" s="4">
        <f t="shared" si="26"/>
        <v>0</v>
      </c>
      <c r="AJ42" s="4">
        <f t="shared" si="26"/>
        <v>0</v>
      </c>
      <c r="AK42" s="4">
        <f t="shared" si="26"/>
        <v>6900.7</v>
      </c>
      <c r="AL42" s="4">
        <f t="shared" si="26"/>
        <v>11093.700000000003</v>
      </c>
      <c r="AM42" s="4">
        <f t="shared" si="24"/>
        <v>-1259.8999999999996</v>
      </c>
      <c r="AN42" s="5">
        <f t="shared" si="25"/>
        <v>0.55859830332858429</v>
      </c>
      <c r="AO42" s="4">
        <f>SUBTOTAL(9,AO43:AO66)</f>
        <v>7104.8000000000011</v>
      </c>
      <c r="AP42" s="3"/>
      <c r="AQ42" s="6"/>
    </row>
    <row r="43" spans="1:43" outlineLevel="1" x14ac:dyDescent="0.45">
      <c r="A43" s="7" t="s">
        <v>195</v>
      </c>
      <c r="B43" s="7" t="s">
        <v>196</v>
      </c>
      <c r="C43" s="7"/>
      <c r="D43" s="7"/>
      <c r="E43" s="7"/>
      <c r="F43" s="7"/>
      <c r="G43" s="7"/>
      <c r="H43" s="8">
        <f t="shared" ref="H43:AL43" si="27">SUBTOTAL(9,H44:H52)</f>
        <v>60.5</v>
      </c>
      <c r="I43" s="8">
        <f t="shared" si="27"/>
        <v>61.9</v>
      </c>
      <c r="J43" s="8">
        <f t="shared" si="27"/>
        <v>458</v>
      </c>
      <c r="K43" s="8">
        <f t="shared" si="27"/>
        <v>470.4</v>
      </c>
      <c r="L43" s="8">
        <f t="shared" si="27"/>
        <v>391</v>
      </c>
      <c r="M43" s="8">
        <f t="shared" si="27"/>
        <v>717.9</v>
      </c>
      <c r="N43" s="8">
        <f t="shared" si="27"/>
        <v>530</v>
      </c>
      <c r="O43" s="8">
        <f t="shared" si="27"/>
        <v>468.40000000000003</v>
      </c>
      <c r="P43" s="8">
        <f t="shared" si="27"/>
        <v>521</v>
      </c>
      <c r="Q43" s="8">
        <f t="shared" si="27"/>
        <v>732.39999999999986</v>
      </c>
      <c r="R43" s="8">
        <f t="shared" si="27"/>
        <v>475.1</v>
      </c>
      <c r="S43" s="8">
        <f t="shared" si="27"/>
        <v>785.39999999999986</v>
      </c>
      <c r="T43" s="8">
        <f t="shared" si="27"/>
        <v>580.4</v>
      </c>
      <c r="U43" s="8">
        <f t="shared" si="27"/>
        <v>1579.3000000000002</v>
      </c>
      <c r="V43" s="8">
        <f t="shared" si="27"/>
        <v>1519.3999999999999</v>
      </c>
      <c r="W43" s="8">
        <f t="shared" si="27"/>
        <v>1992.9</v>
      </c>
      <c r="X43" s="8">
        <f t="shared" si="27"/>
        <v>5672.0000000000009</v>
      </c>
      <c r="Y43" s="8">
        <f t="shared" si="27"/>
        <v>63.3</v>
      </c>
      <c r="Z43" s="8">
        <f t="shared" si="27"/>
        <v>66.400000000000006</v>
      </c>
      <c r="AA43" s="8">
        <f t="shared" si="27"/>
        <v>455</v>
      </c>
      <c r="AB43" s="8">
        <f t="shared" si="27"/>
        <v>360.9</v>
      </c>
      <c r="AC43" s="8">
        <f t="shared" si="27"/>
        <v>357.1</v>
      </c>
      <c r="AD43" s="8">
        <f t="shared" si="27"/>
        <v>672.4</v>
      </c>
      <c r="AE43" s="8">
        <f t="shared" si="27"/>
        <v>434</v>
      </c>
      <c r="AF43" s="8">
        <f t="shared" si="27"/>
        <v>349.79999999999995</v>
      </c>
      <c r="AG43" s="8">
        <f t="shared" si="27"/>
        <v>436.5</v>
      </c>
      <c r="AH43" s="8">
        <f t="shared" si="27"/>
        <v>0</v>
      </c>
      <c r="AI43" s="8">
        <f t="shared" si="27"/>
        <v>0</v>
      </c>
      <c r="AJ43" s="8">
        <f t="shared" si="27"/>
        <v>0</v>
      </c>
      <c r="AK43" s="8">
        <f t="shared" si="27"/>
        <v>3195.3999999999996</v>
      </c>
      <c r="AL43" s="8">
        <f t="shared" si="27"/>
        <v>5299.7000000000007</v>
      </c>
      <c r="AM43" s="8">
        <f t="shared" si="24"/>
        <v>-372.30000000000018</v>
      </c>
      <c r="AN43" s="9">
        <f t="shared" si="25"/>
        <v>0.56336389280676991</v>
      </c>
      <c r="AO43" s="8">
        <f>SUBTOTAL(9,AO44:AO52)</f>
        <v>3255.4</v>
      </c>
      <c r="AP43" s="7"/>
      <c r="AQ43" s="10"/>
    </row>
    <row r="44" spans="1:43" outlineLevel="2" x14ac:dyDescent="0.45">
      <c r="A44" s="11" t="s">
        <v>197</v>
      </c>
      <c r="B44" s="11" t="s">
        <v>198</v>
      </c>
      <c r="C44" s="11" t="s">
        <v>94</v>
      </c>
      <c r="D44" s="11" t="s">
        <v>59</v>
      </c>
      <c r="E44" s="11" t="s">
        <v>72</v>
      </c>
      <c r="F44" s="11" t="s">
        <v>176</v>
      </c>
      <c r="G44" s="11" t="s">
        <v>62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f t="shared" ref="T44:T52" si="28">SUM(H44:J44)</f>
        <v>0</v>
      </c>
      <c r="U44" s="12">
        <f t="shared" ref="U44:U52" si="29">SUM(K44:M44)</f>
        <v>0</v>
      </c>
      <c r="V44" s="12">
        <f t="shared" ref="V44:V52" si="30">SUM(N44:P44)</f>
        <v>0</v>
      </c>
      <c r="W44" s="12">
        <f t="shared" ref="W44:W52" si="31">SUM(Q44:S44)</f>
        <v>0</v>
      </c>
      <c r="X44" s="12">
        <f t="shared" ref="X44:X52" si="32">SUM(T44:W44)</f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f t="shared" ref="AK44:AK52" si="33">SUM(Y44:AJ44)</f>
        <v>0</v>
      </c>
      <c r="AL44" s="12">
        <v>0</v>
      </c>
      <c r="AM44" s="12">
        <f t="shared" si="24"/>
        <v>0</v>
      </c>
      <c r="AN44" s="13">
        <f t="shared" si="25"/>
        <v>0</v>
      </c>
      <c r="AO44" s="12">
        <v>0</v>
      </c>
      <c r="AP44" s="11" t="s">
        <v>199</v>
      </c>
      <c r="AQ44" s="14" t="s">
        <v>102</v>
      </c>
    </row>
    <row r="45" spans="1:43" outlineLevel="2" x14ac:dyDescent="0.45">
      <c r="A45" s="11" t="s">
        <v>200</v>
      </c>
      <c r="B45" s="11" t="s">
        <v>201</v>
      </c>
      <c r="C45" s="11" t="s">
        <v>71</v>
      </c>
      <c r="D45" s="11" t="s">
        <v>59</v>
      </c>
      <c r="E45" s="11" t="s">
        <v>72</v>
      </c>
      <c r="F45" s="11" t="s">
        <v>202</v>
      </c>
      <c r="G45" s="11" t="s">
        <v>62</v>
      </c>
      <c r="H45" s="12">
        <v>0</v>
      </c>
      <c r="I45" s="12">
        <v>0</v>
      </c>
      <c r="J45" s="12">
        <v>18.399999999999999</v>
      </c>
      <c r="K45" s="12">
        <v>24.8</v>
      </c>
      <c r="L45" s="12">
        <v>20.2</v>
      </c>
      <c r="M45" s="12">
        <v>10.4</v>
      </c>
      <c r="N45" s="12">
        <v>16.5</v>
      </c>
      <c r="O45" s="12">
        <v>19</v>
      </c>
      <c r="P45" s="12">
        <v>18.100000000000001</v>
      </c>
      <c r="Q45" s="12">
        <v>14.7</v>
      </c>
      <c r="R45" s="12">
        <v>10.4</v>
      </c>
      <c r="S45" s="12">
        <v>27.3</v>
      </c>
      <c r="T45" s="12">
        <f t="shared" si="28"/>
        <v>18.399999999999999</v>
      </c>
      <c r="U45" s="12">
        <f t="shared" si="29"/>
        <v>55.4</v>
      </c>
      <c r="V45" s="12">
        <f t="shared" si="30"/>
        <v>53.6</v>
      </c>
      <c r="W45" s="12">
        <f t="shared" si="31"/>
        <v>52.400000000000006</v>
      </c>
      <c r="X45" s="12">
        <f t="shared" si="32"/>
        <v>179.8</v>
      </c>
      <c r="Y45" s="12">
        <v>0</v>
      </c>
      <c r="Z45" s="12">
        <v>0</v>
      </c>
      <c r="AA45" s="12">
        <v>11.1</v>
      </c>
      <c r="AB45" s="12">
        <v>25.2</v>
      </c>
      <c r="AC45" s="12">
        <v>16.899999999999999</v>
      </c>
      <c r="AD45" s="12">
        <v>10.9</v>
      </c>
      <c r="AE45" s="12">
        <v>10.5</v>
      </c>
      <c r="AF45" s="12">
        <v>21.2</v>
      </c>
      <c r="AG45" s="12">
        <v>13.7</v>
      </c>
      <c r="AH45" s="12">
        <v>0</v>
      </c>
      <c r="AI45" s="12">
        <v>0</v>
      </c>
      <c r="AJ45" s="12">
        <v>0</v>
      </c>
      <c r="AK45" s="12">
        <f t="shared" si="33"/>
        <v>109.5</v>
      </c>
      <c r="AL45" s="12">
        <v>164.1</v>
      </c>
      <c r="AM45" s="12">
        <f t="shared" si="24"/>
        <v>-15.700000000000017</v>
      </c>
      <c r="AN45" s="13">
        <f t="shared" si="25"/>
        <v>0.60901001112347053</v>
      </c>
      <c r="AO45" s="12">
        <v>77.900000000000006</v>
      </c>
      <c r="AP45" s="11" t="s">
        <v>203</v>
      </c>
      <c r="AQ45" s="14"/>
    </row>
    <row r="46" spans="1:43" outlineLevel="2" x14ac:dyDescent="0.45">
      <c r="A46" s="11" t="s">
        <v>204</v>
      </c>
      <c r="B46" s="11" t="s">
        <v>205</v>
      </c>
      <c r="C46" s="11" t="s">
        <v>134</v>
      </c>
      <c r="D46" s="11" t="s">
        <v>59</v>
      </c>
      <c r="E46" s="11" t="s">
        <v>66</v>
      </c>
      <c r="F46" s="11" t="s">
        <v>206</v>
      </c>
      <c r="G46" s="11" t="s">
        <v>62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f t="shared" si="28"/>
        <v>0</v>
      </c>
      <c r="U46" s="12">
        <f t="shared" si="29"/>
        <v>0</v>
      </c>
      <c r="V46" s="12">
        <f t="shared" si="30"/>
        <v>0</v>
      </c>
      <c r="W46" s="12">
        <f t="shared" si="31"/>
        <v>0</v>
      </c>
      <c r="X46" s="12">
        <f t="shared" si="32"/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f t="shared" si="33"/>
        <v>0</v>
      </c>
      <c r="AL46" s="12">
        <v>0</v>
      </c>
      <c r="AM46" s="12">
        <f t="shared" si="24"/>
        <v>0</v>
      </c>
      <c r="AN46" s="13">
        <f t="shared" si="25"/>
        <v>0</v>
      </c>
      <c r="AO46" s="12">
        <v>0</v>
      </c>
      <c r="AP46" s="11" t="s">
        <v>207</v>
      </c>
      <c r="AQ46" s="14"/>
    </row>
    <row r="47" spans="1:43" outlineLevel="2" x14ac:dyDescent="0.45">
      <c r="A47" s="11" t="s">
        <v>208</v>
      </c>
      <c r="B47" s="11" t="s">
        <v>209</v>
      </c>
      <c r="C47" s="11" t="s">
        <v>71</v>
      </c>
      <c r="D47" s="11" t="s">
        <v>59</v>
      </c>
      <c r="E47" s="11" t="s">
        <v>72</v>
      </c>
      <c r="F47" s="11" t="s">
        <v>119</v>
      </c>
      <c r="G47" s="11" t="s">
        <v>95</v>
      </c>
      <c r="H47" s="12">
        <v>0</v>
      </c>
      <c r="I47" s="12">
        <v>0</v>
      </c>
      <c r="J47" s="12">
        <v>92.3</v>
      </c>
      <c r="K47" s="12">
        <v>106.4</v>
      </c>
      <c r="L47" s="12">
        <v>134.5</v>
      </c>
      <c r="M47" s="12">
        <v>206</v>
      </c>
      <c r="N47" s="12">
        <v>108.3</v>
      </c>
      <c r="O47" s="12">
        <v>69.7</v>
      </c>
      <c r="P47" s="12">
        <v>183.4</v>
      </c>
      <c r="Q47" s="12">
        <v>218.2</v>
      </c>
      <c r="R47" s="12">
        <v>120.1</v>
      </c>
      <c r="S47" s="12">
        <v>251.6</v>
      </c>
      <c r="T47" s="12">
        <f t="shared" si="28"/>
        <v>92.3</v>
      </c>
      <c r="U47" s="12">
        <f t="shared" si="29"/>
        <v>446.9</v>
      </c>
      <c r="V47" s="12">
        <f t="shared" si="30"/>
        <v>361.4</v>
      </c>
      <c r="W47" s="12">
        <f t="shared" si="31"/>
        <v>589.9</v>
      </c>
      <c r="X47" s="12">
        <f t="shared" si="32"/>
        <v>1490.5</v>
      </c>
      <c r="Y47" s="12">
        <v>0</v>
      </c>
      <c r="Z47" s="12">
        <v>0</v>
      </c>
      <c r="AA47" s="12">
        <v>88.4</v>
      </c>
      <c r="AB47" s="12">
        <v>63.5</v>
      </c>
      <c r="AC47" s="12">
        <v>129.5</v>
      </c>
      <c r="AD47" s="12">
        <v>192.2</v>
      </c>
      <c r="AE47" s="12">
        <v>97</v>
      </c>
      <c r="AF47" s="12">
        <v>52.9</v>
      </c>
      <c r="AG47" s="12">
        <v>112.3</v>
      </c>
      <c r="AH47" s="12">
        <v>0</v>
      </c>
      <c r="AI47" s="12">
        <v>0</v>
      </c>
      <c r="AJ47" s="12">
        <v>0</v>
      </c>
      <c r="AK47" s="12">
        <f t="shared" si="33"/>
        <v>735.79999999999984</v>
      </c>
      <c r="AL47" s="12">
        <v>1335.7</v>
      </c>
      <c r="AM47" s="12">
        <f t="shared" si="24"/>
        <v>-154.79999999999995</v>
      </c>
      <c r="AN47" s="13">
        <f t="shared" si="25"/>
        <v>0.49365984568936588</v>
      </c>
      <c r="AO47" s="12">
        <v>1483.6</v>
      </c>
      <c r="AP47" s="11" t="s">
        <v>210</v>
      </c>
      <c r="AQ47" s="14" t="s">
        <v>211</v>
      </c>
    </row>
    <row r="48" spans="1:43" outlineLevel="2" x14ac:dyDescent="0.45">
      <c r="A48" s="11" t="s">
        <v>212</v>
      </c>
      <c r="B48" s="11" t="s">
        <v>213</v>
      </c>
      <c r="C48" s="11" t="s">
        <v>94</v>
      </c>
      <c r="D48" s="11" t="s">
        <v>59</v>
      </c>
      <c r="E48" s="11" t="s">
        <v>66</v>
      </c>
      <c r="F48" s="11" t="s">
        <v>214</v>
      </c>
      <c r="G48" s="11" t="s">
        <v>90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121.5</v>
      </c>
      <c r="N48" s="12">
        <v>132.19999999999999</v>
      </c>
      <c r="O48" s="12">
        <v>66.8</v>
      </c>
      <c r="P48" s="12">
        <v>109.3</v>
      </c>
      <c r="Q48" s="12">
        <v>213.9</v>
      </c>
      <c r="R48" s="12">
        <v>130.1</v>
      </c>
      <c r="S48" s="12">
        <v>168</v>
      </c>
      <c r="T48" s="12">
        <f t="shared" si="28"/>
        <v>0</v>
      </c>
      <c r="U48" s="12">
        <f t="shared" si="29"/>
        <v>121.5</v>
      </c>
      <c r="V48" s="12">
        <f t="shared" si="30"/>
        <v>308.3</v>
      </c>
      <c r="W48" s="12">
        <f t="shared" si="31"/>
        <v>512</v>
      </c>
      <c r="X48" s="12">
        <f t="shared" si="32"/>
        <v>941.8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111.4</v>
      </c>
      <c r="AE48" s="12">
        <v>105.7</v>
      </c>
      <c r="AF48" s="12">
        <v>47</v>
      </c>
      <c r="AG48" s="12">
        <v>91</v>
      </c>
      <c r="AH48" s="12">
        <v>0</v>
      </c>
      <c r="AI48" s="12">
        <v>0</v>
      </c>
      <c r="AJ48" s="12">
        <v>0</v>
      </c>
      <c r="AK48" s="12">
        <f t="shared" si="33"/>
        <v>355.1</v>
      </c>
      <c r="AL48" s="12">
        <v>957</v>
      </c>
      <c r="AM48" s="12">
        <f t="shared" si="24"/>
        <v>15.200000000000045</v>
      </c>
      <c r="AN48" s="13">
        <f t="shared" si="25"/>
        <v>0.37704395837757487</v>
      </c>
      <c r="AO48" s="12">
        <v>1060.9000000000001</v>
      </c>
      <c r="AP48" s="11" t="s">
        <v>215</v>
      </c>
      <c r="AQ48" s="14"/>
    </row>
    <row r="49" spans="1:43" outlineLevel="2" x14ac:dyDescent="0.45">
      <c r="A49" s="11" t="s">
        <v>216</v>
      </c>
      <c r="B49" s="11" t="s">
        <v>217</v>
      </c>
      <c r="C49" s="11" t="s">
        <v>88</v>
      </c>
      <c r="D49" s="11" t="s">
        <v>59</v>
      </c>
      <c r="E49" s="11" t="s">
        <v>66</v>
      </c>
      <c r="F49" s="11" t="s">
        <v>100</v>
      </c>
      <c r="G49" s="11" t="s">
        <v>90</v>
      </c>
      <c r="H49" s="12">
        <v>0</v>
      </c>
      <c r="I49" s="12">
        <v>0</v>
      </c>
      <c r="J49" s="12">
        <v>223.3</v>
      </c>
      <c r="K49" s="12">
        <v>196.2</v>
      </c>
      <c r="L49" s="12">
        <v>85.4</v>
      </c>
      <c r="M49" s="12">
        <v>250.5</v>
      </c>
      <c r="N49" s="12">
        <v>126.9</v>
      </c>
      <c r="O49" s="12">
        <v>234.8</v>
      </c>
      <c r="P49" s="12">
        <v>132.6</v>
      </c>
      <c r="Q49" s="12">
        <v>153.30000000000001</v>
      </c>
      <c r="R49" s="12">
        <v>151.80000000000001</v>
      </c>
      <c r="S49" s="12">
        <v>187.2</v>
      </c>
      <c r="T49" s="12">
        <f t="shared" si="28"/>
        <v>223.3</v>
      </c>
      <c r="U49" s="12">
        <f t="shared" si="29"/>
        <v>532.1</v>
      </c>
      <c r="V49" s="12">
        <f t="shared" si="30"/>
        <v>494.30000000000007</v>
      </c>
      <c r="W49" s="12">
        <f t="shared" si="31"/>
        <v>492.3</v>
      </c>
      <c r="X49" s="12">
        <f t="shared" si="32"/>
        <v>1742.0000000000002</v>
      </c>
      <c r="Y49" s="12">
        <v>0</v>
      </c>
      <c r="Z49" s="12">
        <v>0</v>
      </c>
      <c r="AA49" s="12">
        <v>218</v>
      </c>
      <c r="AB49" s="12">
        <v>189.6</v>
      </c>
      <c r="AC49" s="12">
        <v>67.3</v>
      </c>
      <c r="AD49" s="12">
        <v>228</v>
      </c>
      <c r="AE49" s="12">
        <v>89.1</v>
      </c>
      <c r="AF49" s="12">
        <v>164.6</v>
      </c>
      <c r="AG49" s="12">
        <v>137.5</v>
      </c>
      <c r="AH49" s="12">
        <v>0</v>
      </c>
      <c r="AI49" s="12">
        <v>0</v>
      </c>
      <c r="AJ49" s="12">
        <v>0</v>
      </c>
      <c r="AK49" s="12">
        <f t="shared" si="33"/>
        <v>1094.1000000000001</v>
      </c>
      <c r="AL49" s="12">
        <v>1655.9</v>
      </c>
      <c r="AM49" s="12">
        <f t="shared" si="24"/>
        <v>-86.100000000000136</v>
      </c>
      <c r="AN49" s="13">
        <f t="shared" si="25"/>
        <v>0.62807118254879446</v>
      </c>
      <c r="AO49" s="12">
        <v>208.9</v>
      </c>
      <c r="AP49" s="11" t="s">
        <v>218</v>
      </c>
      <c r="AQ49" s="14"/>
    </row>
    <row r="50" spans="1:43" outlineLevel="2" x14ac:dyDescent="0.45">
      <c r="A50" s="11" t="s">
        <v>219</v>
      </c>
      <c r="B50" s="11" t="s">
        <v>220</v>
      </c>
      <c r="C50" s="11" t="s">
        <v>134</v>
      </c>
      <c r="D50" s="11" t="s">
        <v>59</v>
      </c>
      <c r="E50" s="11" t="s">
        <v>72</v>
      </c>
      <c r="F50" s="11" t="s">
        <v>176</v>
      </c>
      <c r="G50" s="11" t="s">
        <v>62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f t="shared" si="28"/>
        <v>0</v>
      </c>
      <c r="U50" s="12">
        <f t="shared" si="29"/>
        <v>0</v>
      </c>
      <c r="V50" s="12">
        <f t="shared" si="30"/>
        <v>0</v>
      </c>
      <c r="W50" s="12">
        <f t="shared" si="31"/>
        <v>0</v>
      </c>
      <c r="X50" s="12">
        <f t="shared" si="32"/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f t="shared" si="33"/>
        <v>0</v>
      </c>
      <c r="AL50" s="12">
        <v>0</v>
      </c>
      <c r="AM50" s="12">
        <f t="shared" si="24"/>
        <v>0</v>
      </c>
      <c r="AN50" s="13">
        <f t="shared" si="25"/>
        <v>0</v>
      </c>
      <c r="AO50" s="12">
        <v>0</v>
      </c>
      <c r="AP50" s="11" t="s">
        <v>221</v>
      </c>
      <c r="AQ50" s="14"/>
    </row>
    <row r="51" spans="1:43" outlineLevel="2" x14ac:dyDescent="0.45">
      <c r="A51" s="11" t="s">
        <v>222</v>
      </c>
      <c r="B51" s="11" t="s">
        <v>223</v>
      </c>
      <c r="C51" s="11" t="s">
        <v>88</v>
      </c>
      <c r="D51" s="11" t="s">
        <v>59</v>
      </c>
      <c r="E51" s="11" t="s">
        <v>66</v>
      </c>
      <c r="F51" s="11" t="s">
        <v>224</v>
      </c>
      <c r="G51" s="11" t="s">
        <v>62</v>
      </c>
      <c r="H51" s="12">
        <v>0</v>
      </c>
      <c r="I51" s="12">
        <v>0</v>
      </c>
      <c r="J51" s="12">
        <v>0</v>
      </c>
      <c r="K51" s="12">
        <v>0</v>
      </c>
      <c r="L51" s="12">
        <v>13.2</v>
      </c>
      <c r="M51" s="12">
        <v>22</v>
      </c>
      <c r="N51" s="12">
        <v>24.2</v>
      </c>
      <c r="O51" s="12">
        <v>16.5</v>
      </c>
      <c r="P51" s="12">
        <v>25.8</v>
      </c>
      <c r="Q51" s="12">
        <v>15.5</v>
      </c>
      <c r="R51" s="12">
        <v>25.4</v>
      </c>
      <c r="S51" s="12">
        <v>15</v>
      </c>
      <c r="T51" s="12">
        <f t="shared" si="28"/>
        <v>0</v>
      </c>
      <c r="U51" s="12">
        <f t="shared" si="29"/>
        <v>35.200000000000003</v>
      </c>
      <c r="V51" s="12">
        <f t="shared" si="30"/>
        <v>66.5</v>
      </c>
      <c r="W51" s="12">
        <f t="shared" si="31"/>
        <v>55.9</v>
      </c>
      <c r="X51" s="12">
        <f t="shared" si="32"/>
        <v>157.6</v>
      </c>
      <c r="Y51" s="12">
        <v>0</v>
      </c>
      <c r="Z51" s="12">
        <v>0</v>
      </c>
      <c r="AA51" s="12">
        <v>0</v>
      </c>
      <c r="AB51" s="12">
        <v>0</v>
      </c>
      <c r="AC51" s="12">
        <v>8.6</v>
      </c>
      <c r="AD51" s="12">
        <v>14.3</v>
      </c>
      <c r="AE51" s="12">
        <v>13.3</v>
      </c>
      <c r="AF51" s="12">
        <v>9.1999999999999993</v>
      </c>
      <c r="AG51" s="12">
        <v>26.8</v>
      </c>
      <c r="AH51" s="12">
        <v>0</v>
      </c>
      <c r="AI51" s="12">
        <v>0</v>
      </c>
      <c r="AJ51" s="12">
        <v>0</v>
      </c>
      <c r="AK51" s="12">
        <f t="shared" si="33"/>
        <v>72.2</v>
      </c>
      <c r="AL51" s="12">
        <v>119.6</v>
      </c>
      <c r="AM51" s="12">
        <f t="shared" si="24"/>
        <v>-38</v>
      </c>
      <c r="AN51" s="13">
        <f t="shared" si="25"/>
        <v>0.45812182741116753</v>
      </c>
      <c r="AO51" s="12">
        <v>139.5</v>
      </c>
      <c r="AP51" s="11" t="s">
        <v>225</v>
      </c>
      <c r="AQ51" s="14"/>
    </row>
    <row r="52" spans="1:43" ht="28.5" outlineLevel="2" x14ac:dyDescent="0.45">
      <c r="A52" s="11" t="s">
        <v>226</v>
      </c>
      <c r="B52" s="11" t="s">
        <v>227</v>
      </c>
      <c r="C52" s="11" t="s">
        <v>58</v>
      </c>
      <c r="D52" s="11" t="s">
        <v>59</v>
      </c>
      <c r="E52" s="11" t="s">
        <v>60</v>
      </c>
      <c r="F52" s="11" t="s">
        <v>138</v>
      </c>
      <c r="G52" s="11" t="s">
        <v>62</v>
      </c>
      <c r="H52" s="12">
        <v>60.5</v>
      </c>
      <c r="I52" s="12">
        <v>61.9</v>
      </c>
      <c r="J52" s="12">
        <v>124</v>
      </c>
      <c r="K52" s="12">
        <v>143</v>
      </c>
      <c r="L52" s="12">
        <v>137.69999999999999</v>
      </c>
      <c r="M52" s="12">
        <v>107.5</v>
      </c>
      <c r="N52" s="12">
        <v>121.9</v>
      </c>
      <c r="O52" s="12">
        <v>61.6</v>
      </c>
      <c r="P52" s="12">
        <v>51.8</v>
      </c>
      <c r="Q52" s="12">
        <v>116.8</v>
      </c>
      <c r="R52" s="12">
        <v>37.299999999999997</v>
      </c>
      <c r="S52" s="12">
        <v>136.30000000000001</v>
      </c>
      <c r="T52" s="12">
        <f t="shared" si="28"/>
        <v>246.4</v>
      </c>
      <c r="U52" s="12">
        <f t="shared" si="29"/>
        <v>388.2</v>
      </c>
      <c r="V52" s="12">
        <f t="shared" si="30"/>
        <v>235.3</v>
      </c>
      <c r="W52" s="12">
        <f t="shared" si="31"/>
        <v>290.39999999999998</v>
      </c>
      <c r="X52" s="12">
        <f t="shared" si="32"/>
        <v>1160.3000000000002</v>
      </c>
      <c r="Y52" s="12">
        <v>63.3</v>
      </c>
      <c r="Z52" s="12">
        <v>66.400000000000006</v>
      </c>
      <c r="AA52" s="12">
        <v>137.5</v>
      </c>
      <c r="AB52" s="12">
        <v>82.6</v>
      </c>
      <c r="AC52" s="12">
        <v>134.80000000000001</v>
      </c>
      <c r="AD52" s="12">
        <v>115.6</v>
      </c>
      <c r="AE52" s="12">
        <v>118.4</v>
      </c>
      <c r="AF52" s="12">
        <v>54.9</v>
      </c>
      <c r="AG52" s="12">
        <v>55.2</v>
      </c>
      <c r="AH52" s="12">
        <v>0</v>
      </c>
      <c r="AI52" s="12">
        <v>0</v>
      </c>
      <c r="AJ52" s="12">
        <v>0</v>
      </c>
      <c r="AK52" s="12">
        <f t="shared" si="33"/>
        <v>828.69999999999993</v>
      </c>
      <c r="AL52" s="12">
        <v>1067.4000000000001</v>
      </c>
      <c r="AM52" s="12">
        <f t="shared" si="24"/>
        <v>-92.900000000000091</v>
      </c>
      <c r="AN52" s="13">
        <f t="shared" si="25"/>
        <v>0.71421184176506058</v>
      </c>
      <c r="AO52" s="12">
        <v>284.60000000000002</v>
      </c>
      <c r="AP52" s="11" t="s">
        <v>228</v>
      </c>
      <c r="AQ52" s="14" t="s">
        <v>80</v>
      </c>
    </row>
    <row r="53" spans="1:43" outlineLevel="1" x14ac:dyDescent="0.45">
      <c r="A53" s="7" t="s">
        <v>229</v>
      </c>
      <c r="B53" s="7" t="s">
        <v>230</v>
      </c>
      <c r="C53" s="7"/>
      <c r="D53" s="7"/>
      <c r="E53" s="7"/>
      <c r="F53" s="7"/>
      <c r="G53" s="7"/>
      <c r="H53" s="8">
        <f t="shared" ref="H53:AL53" si="34">SUBTOTAL(9,H54:H66)</f>
        <v>411.29999999999995</v>
      </c>
      <c r="I53" s="8">
        <f t="shared" si="34"/>
        <v>439.7</v>
      </c>
      <c r="J53" s="8">
        <f t="shared" si="34"/>
        <v>543.09999999999991</v>
      </c>
      <c r="K53" s="8">
        <f t="shared" si="34"/>
        <v>482.09999999999997</v>
      </c>
      <c r="L53" s="8">
        <f t="shared" si="34"/>
        <v>645.40000000000009</v>
      </c>
      <c r="M53" s="8">
        <f t="shared" si="34"/>
        <v>408.10000000000008</v>
      </c>
      <c r="N53" s="8">
        <f t="shared" si="34"/>
        <v>665.7</v>
      </c>
      <c r="O53" s="8">
        <f t="shared" si="34"/>
        <v>510.89999999999992</v>
      </c>
      <c r="P53" s="8">
        <f t="shared" si="34"/>
        <v>591.5</v>
      </c>
      <c r="Q53" s="8">
        <f t="shared" si="34"/>
        <v>636.20000000000005</v>
      </c>
      <c r="R53" s="8">
        <f t="shared" si="34"/>
        <v>599.6</v>
      </c>
      <c r="S53" s="8">
        <f t="shared" si="34"/>
        <v>748</v>
      </c>
      <c r="T53" s="8">
        <f t="shared" si="34"/>
        <v>1394.1</v>
      </c>
      <c r="U53" s="8">
        <f t="shared" si="34"/>
        <v>1535.6</v>
      </c>
      <c r="V53" s="8">
        <f t="shared" si="34"/>
        <v>1768.1</v>
      </c>
      <c r="W53" s="8">
        <f t="shared" si="34"/>
        <v>1983.7999999999997</v>
      </c>
      <c r="X53" s="8">
        <f t="shared" si="34"/>
        <v>6681.5999999999995</v>
      </c>
      <c r="Y53" s="8">
        <f t="shared" si="34"/>
        <v>253.2</v>
      </c>
      <c r="Z53" s="8">
        <f t="shared" si="34"/>
        <v>309.60000000000002</v>
      </c>
      <c r="AA53" s="8">
        <f t="shared" si="34"/>
        <v>449.9</v>
      </c>
      <c r="AB53" s="8">
        <f t="shared" si="34"/>
        <v>411.8</v>
      </c>
      <c r="AC53" s="8">
        <f t="shared" si="34"/>
        <v>489.4</v>
      </c>
      <c r="AD53" s="8">
        <f t="shared" si="34"/>
        <v>341.9</v>
      </c>
      <c r="AE53" s="8">
        <f t="shared" si="34"/>
        <v>530</v>
      </c>
      <c r="AF53" s="8">
        <f t="shared" si="34"/>
        <v>460.6</v>
      </c>
      <c r="AG53" s="8">
        <f t="shared" si="34"/>
        <v>458.90000000000003</v>
      </c>
      <c r="AH53" s="8">
        <f t="shared" si="34"/>
        <v>0</v>
      </c>
      <c r="AI53" s="8">
        <f t="shared" si="34"/>
        <v>0</v>
      </c>
      <c r="AJ53" s="8">
        <f t="shared" si="34"/>
        <v>0</v>
      </c>
      <c r="AK53" s="8">
        <f t="shared" si="34"/>
        <v>3705.2999999999997</v>
      </c>
      <c r="AL53" s="8">
        <f t="shared" si="34"/>
        <v>5793.9999999999991</v>
      </c>
      <c r="AM53" s="8">
        <f t="shared" si="24"/>
        <v>-887.60000000000036</v>
      </c>
      <c r="AN53" s="9">
        <f t="shared" si="25"/>
        <v>0.5545528017241379</v>
      </c>
      <c r="AO53" s="8">
        <f>SUBTOTAL(9,AO54:AO66)</f>
        <v>3849.3999999999996</v>
      </c>
      <c r="AP53" s="7"/>
      <c r="AQ53" s="10"/>
    </row>
    <row r="54" spans="1:43" ht="28.5" outlineLevel="2" x14ac:dyDescent="0.45">
      <c r="A54" s="11" t="s">
        <v>231</v>
      </c>
      <c r="B54" s="11" t="s">
        <v>232</v>
      </c>
      <c r="C54" s="11" t="s">
        <v>134</v>
      </c>
      <c r="D54" s="11" t="s">
        <v>59</v>
      </c>
      <c r="E54" s="11" t="s">
        <v>72</v>
      </c>
      <c r="F54" s="11" t="s">
        <v>119</v>
      </c>
      <c r="G54" s="11" t="s">
        <v>84</v>
      </c>
      <c r="H54" s="12">
        <v>0</v>
      </c>
      <c r="I54" s="12">
        <v>29.5</v>
      </c>
      <c r="J54" s="12">
        <v>69.3</v>
      </c>
      <c r="K54" s="12">
        <v>50.1</v>
      </c>
      <c r="L54" s="12">
        <v>62.9</v>
      </c>
      <c r="M54" s="12">
        <v>71.8</v>
      </c>
      <c r="N54" s="12">
        <v>27.7</v>
      </c>
      <c r="O54" s="12">
        <v>55.5</v>
      </c>
      <c r="P54" s="12">
        <v>48.9</v>
      </c>
      <c r="Q54" s="12">
        <v>69.400000000000006</v>
      </c>
      <c r="R54" s="12">
        <v>45.4</v>
      </c>
      <c r="S54" s="12">
        <v>62.3</v>
      </c>
      <c r="T54" s="12">
        <f t="shared" ref="T54:T66" si="35">SUM(H54:J54)</f>
        <v>98.8</v>
      </c>
      <c r="U54" s="12">
        <f t="shared" ref="U54:U66" si="36">SUM(K54:M54)</f>
        <v>184.8</v>
      </c>
      <c r="V54" s="12">
        <f t="shared" ref="V54:V66" si="37">SUM(N54:P54)</f>
        <v>132.1</v>
      </c>
      <c r="W54" s="12">
        <f t="shared" ref="W54:W66" si="38">SUM(Q54:S54)</f>
        <v>177.10000000000002</v>
      </c>
      <c r="X54" s="12">
        <f t="shared" ref="X54:X66" si="39">SUM(T54:W54)</f>
        <v>592.80000000000007</v>
      </c>
      <c r="Y54" s="12">
        <v>0</v>
      </c>
      <c r="Z54" s="12">
        <v>20.3</v>
      </c>
      <c r="AA54" s="12">
        <v>58.5</v>
      </c>
      <c r="AB54" s="12">
        <v>31.3</v>
      </c>
      <c r="AC54" s="12">
        <v>54.3</v>
      </c>
      <c r="AD54" s="12">
        <v>60.3</v>
      </c>
      <c r="AE54" s="12">
        <v>15.9</v>
      </c>
      <c r="AF54" s="12">
        <v>55.6</v>
      </c>
      <c r="AG54" s="12">
        <v>51.3</v>
      </c>
      <c r="AH54" s="12">
        <v>0</v>
      </c>
      <c r="AI54" s="12">
        <v>0</v>
      </c>
      <c r="AJ54" s="12">
        <v>0</v>
      </c>
      <c r="AK54" s="12">
        <f t="shared" ref="AK54:AK66" si="40">SUM(Y54:AJ54)</f>
        <v>347.5</v>
      </c>
      <c r="AL54" s="12">
        <v>534</v>
      </c>
      <c r="AM54" s="12">
        <f t="shared" si="24"/>
        <v>-58.800000000000068</v>
      </c>
      <c r="AN54" s="13">
        <f t="shared" si="25"/>
        <v>0.58620107962213219</v>
      </c>
      <c r="AO54" s="12">
        <v>742.7</v>
      </c>
      <c r="AP54" s="11" t="s">
        <v>233</v>
      </c>
      <c r="AQ54" s="14" t="s">
        <v>234</v>
      </c>
    </row>
    <row r="55" spans="1:43" outlineLevel="2" x14ac:dyDescent="0.45">
      <c r="A55" s="11" t="s">
        <v>235</v>
      </c>
      <c r="B55" s="11" t="s">
        <v>236</v>
      </c>
      <c r="C55" s="11" t="s">
        <v>71</v>
      </c>
      <c r="D55" s="11" t="s">
        <v>59</v>
      </c>
      <c r="E55" s="11" t="s">
        <v>72</v>
      </c>
      <c r="F55" s="11" t="s">
        <v>119</v>
      </c>
      <c r="G55" s="11" t="s">
        <v>84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f t="shared" si="35"/>
        <v>0</v>
      </c>
      <c r="U55" s="12">
        <f t="shared" si="36"/>
        <v>0</v>
      </c>
      <c r="V55" s="12">
        <f t="shared" si="37"/>
        <v>0</v>
      </c>
      <c r="W55" s="12">
        <f t="shared" si="38"/>
        <v>0</v>
      </c>
      <c r="X55" s="12">
        <f t="shared" si="39"/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f t="shared" si="40"/>
        <v>0</v>
      </c>
      <c r="AL55" s="12">
        <v>0</v>
      </c>
      <c r="AM55" s="12">
        <f t="shared" si="24"/>
        <v>0</v>
      </c>
      <c r="AN55" s="13">
        <f t="shared" si="25"/>
        <v>0</v>
      </c>
      <c r="AO55" s="12">
        <v>0</v>
      </c>
      <c r="AP55" s="11" t="s">
        <v>237</v>
      </c>
      <c r="AQ55" s="14"/>
    </row>
    <row r="56" spans="1:43" outlineLevel="2" x14ac:dyDescent="0.45">
      <c r="A56" s="11" t="s">
        <v>238</v>
      </c>
      <c r="B56" s="11" t="s">
        <v>239</v>
      </c>
      <c r="C56" s="11" t="s">
        <v>134</v>
      </c>
      <c r="D56" s="11" t="s">
        <v>59</v>
      </c>
      <c r="E56" s="11" t="s">
        <v>66</v>
      </c>
      <c r="F56" s="11" t="s">
        <v>83</v>
      </c>
      <c r="G56" s="11" t="s">
        <v>84</v>
      </c>
      <c r="H56" s="12">
        <v>0</v>
      </c>
      <c r="I56" s="12">
        <v>0</v>
      </c>
      <c r="J56" s="12">
        <v>81.599999999999994</v>
      </c>
      <c r="K56" s="12">
        <v>71.2</v>
      </c>
      <c r="L56" s="12">
        <v>79</v>
      </c>
      <c r="M56" s="12">
        <v>50.8</v>
      </c>
      <c r="N56" s="12">
        <v>73.900000000000006</v>
      </c>
      <c r="O56" s="12">
        <v>126.1</v>
      </c>
      <c r="P56" s="12">
        <v>38</v>
      </c>
      <c r="Q56" s="12">
        <v>109.6</v>
      </c>
      <c r="R56" s="12">
        <v>89</v>
      </c>
      <c r="S56" s="12">
        <v>141.4</v>
      </c>
      <c r="T56" s="12">
        <f t="shared" si="35"/>
        <v>81.599999999999994</v>
      </c>
      <c r="U56" s="12">
        <f t="shared" si="36"/>
        <v>201</v>
      </c>
      <c r="V56" s="12">
        <f t="shared" si="37"/>
        <v>238</v>
      </c>
      <c r="W56" s="12">
        <f t="shared" si="38"/>
        <v>340</v>
      </c>
      <c r="X56" s="12">
        <f t="shared" si="39"/>
        <v>860.6</v>
      </c>
      <c r="Y56" s="12">
        <v>0</v>
      </c>
      <c r="Z56" s="12">
        <v>0</v>
      </c>
      <c r="AA56" s="12">
        <v>44.9</v>
      </c>
      <c r="AB56" s="12">
        <v>66.2</v>
      </c>
      <c r="AC56" s="12">
        <v>66.099999999999994</v>
      </c>
      <c r="AD56" s="12">
        <v>58.3</v>
      </c>
      <c r="AE56" s="12">
        <v>84.9</v>
      </c>
      <c r="AF56" s="12">
        <v>141.9</v>
      </c>
      <c r="AG56" s="12">
        <v>32.4</v>
      </c>
      <c r="AH56" s="12">
        <v>0</v>
      </c>
      <c r="AI56" s="12">
        <v>0</v>
      </c>
      <c r="AJ56" s="12">
        <v>0</v>
      </c>
      <c r="AK56" s="12">
        <f t="shared" si="40"/>
        <v>494.69999999999993</v>
      </c>
      <c r="AL56" s="12">
        <v>781.6</v>
      </c>
      <c r="AM56" s="12">
        <f t="shared" si="24"/>
        <v>-79</v>
      </c>
      <c r="AN56" s="13">
        <f t="shared" si="25"/>
        <v>0.57483151289797807</v>
      </c>
      <c r="AO56" s="12">
        <v>995.3</v>
      </c>
      <c r="AP56" s="11" t="s">
        <v>240</v>
      </c>
      <c r="AQ56" s="14" t="s">
        <v>211</v>
      </c>
    </row>
    <row r="57" spans="1:43" outlineLevel="2" x14ac:dyDescent="0.45">
      <c r="A57" s="11" t="s">
        <v>241</v>
      </c>
      <c r="B57" s="11" t="s">
        <v>242</v>
      </c>
      <c r="C57" s="11" t="s">
        <v>88</v>
      </c>
      <c r="D57" s="11" t="s">
        <v>59</v>
      </c>
      <c r="E57" s="11" t="s">
        <v>66</v>
      </c>
      <c r="F57" s="11" t="s">
        <v>105</v>
      </c>
      <c r="G57" s="11" t="s">
        <v>62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f t="shared" si="35"/>
        <v>0</v>
      </c>
      <c r="U57" s="12">
        <f t="shared" si="36"/>
        <v>0</v>
      </c>
      <c r="V57" s="12">
        <f t="shared" si="37"/>
        <v>0</v>
      </c>
      <c r="W57" s="12">
        <f t="shared" si="38"/>
        <v>0</v>
      </c>
      <c r="X57" s="12">
        <f t="shared" si="39"/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f t="shared" si="40"/>
        <v>0</v>
      </c>
      <c r="AL57" s="12">
        <v>0</v>
      </c>
      <c r="AM57" s="12">
        <f t="shared" si="24"/>
        <v>0</v>
      </c>
      <c r="AN57" s="13">
        <f t="shared" si="25"/>
        <v>0</v>
      </c>
      <c r="AO57" s="12">
        <v>0</v>
      </c>
      <c r="AP57" s="11" t="s">
        <v>243</v>
      </c>
      <c r="AQ57" s="14"/>
    </row>
    <row r="58" spans="1:43" outlineLevel="2" x14ac:dyDescent="0.45">
      <c r="A58" s="11" t="s">
        <v>244</v>
      </c>
      <c r="B58" s="11" t="s">
        <v>245</v>
      </c>
      <c r="C58" s="11" t="s">
        <v>94</v>
      </c>
      <c r="D58" s="11" t="s">
        <v>59</v>
      </c>
      <c r="E58" s="11" t="s">
        <v>66</v>
      </c>
      <c r="F58" s="11" t="s">
        <v>246</v>
      </c>
      <c r="G58" s="11" t="s">
        <v>90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f t="shared" si="35"/>
        <v>0</v>
      </c>
      <c r="U58" s="12">
        <f t="shared" si="36"/>
        <v>0</v>
      </c>
      <c r="V58" s="12">
        <f t="shared" si="37"/>
        <v>0</v>
      </c>
      <c r="W58" s="12">
        <f t="shared" si="38"/>
        <v>0</v>
      </c>
      <c r="X58" s="12">
        <f t="shared" si="39"/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f t="shared" si="40"/>
        <v>0</v>
      </c>
      <c r="AL58" s="12">
        <v>0</v>
      </c>
      <c r="AM58" s="12">
        <f t="shared" si="24"/>
        <v>0</v>
      </c>
      <c r="AN58" s="13">
        <f t="shared" si="25"/>
        <v>0</v>
      </c>
      <c r="AO58" s="12">
        <v>0</v>
      </c>
      <c r="AP58" s="11" t="s">
        <v>247</v>
      </c>
      <c r="AQ58" s="14"/>
    </row>
    <row r="59" spans="1:43" outlineLevel="2" x14ac:dyDescent="0.45">
      <c r="A59" s="11" t="s">
        <v>248</v>
      </c>
      <c r="B59" s="11" t="s">
        <v>249</v>
      </c>
      <c r="C59" s="11" t="s">
        <v>94</v>
      </c>
      <c r="D59" s="11" t="s">
        <v>59</v>
      </c>
      <c r="E59" s="11" t="s">
        <v>66</v>
      </c>
      <c r="F59" s="11" t="s">
        <v>127</v>
      </c>
      <c r="G59" s="11" t="s">
        <v>62</v>
      </c>
      <c r="H59" s="12">
        <v>217.7</v>
      </c>
      <c r="I59" s="12">
        <v>169.1</v>
      </c>
      <c r="J59" s="12">
        <v>173.9</v>
      </c>
      <c r="K59" s="12">
        <v>218.7</v>
      </c>
      <c r="L59" s="12">
        <v>188.8</v>
      </c>
      <c r="M59" s="12">
        <v>120.2</v>
      </c>
      <c r="N59" s="12">
        <v>253.5</v>
      </c>
      <c r="O59" s="12">
        <v>187.2</v>
      </c>
      <c r="P59" s="12">
        <v>231.2</v>
      </c>
      <c r="Q59" s="12">
        <v>254.9</v>
      </c>
      <c r="R59" s="12">
        <v>230.5</v>
      </c>
      <c r="S59" s="12">
        <v>254.7</v>
      </c>
      <c r="T59" s="12">
        <f t="shared" si="35"/>
        <v>560.69999999999993</v>
      </c>
      <c r="U59" s="12">
        <f t="shared" si="36"/>
        <v>527.70000000000005</v>
      </c>
      <c r="V59" s="12">
        <f t="shared" si="37"/>
        <v>671.9</v>
      </c>
      <c r="W59" s="12">
        <f t="shared" si="38"/>
        <v>740.09999999999991</v>
      </c>
      <c r="X59" s="12">
        <f t="shared" si="39"/>
        <v>2500.4</v>
      </c>
      <c r="Y59" s="12">
        <v>133.5</v>
      </c>
      <c r="Z59" s="12">
        <v>110.1</v>
      </c>
      <c r="AA59" s="12">
        <v>142.30000000000001</v>
      </c>
      <c r="AB59" s="12">
        <v>200</v>
      </c>
      <c r="AC59" s="12">
        <v>120</v>
      </c>
      <c r="AD59" s="12">
        <v>70.3</v>
      </c>
      <c r="AE59" s="12">
        <v>160.4</v>
      </c>
      <c r="AF59" s="12">
        <v>169</v>
      </c>
      <c r="AG59" s="12">
        <v>159.30000000000001</v>
      </c>
      <c r="AH59" s="12">
        <v>0</v>
      </c>
      <c r="AI59" s="12">
        <v>0</v>
      </c>
      <c r="AJ59" s="12">
        <v>0</v>
      </c>
      <c r="AK59" s="12">
        <f t="shared" si="40"/>
        <v>1264.8999999999999</v>
      </c>
      <c r="AL59" s="12">
        <v>2144.1</v>
      </c>
      <c r="AM59" s="12">
        <f t="shared" si="24"/>
        <v>-356.30000000000018</v>
      </c>
      <c r="AN59" s="13">
        <f t="shared" si="25"/>
        <v>0.50587905935050381</v>
      </c>
      <c r="AO59" s="12">
        <v>697.7</v>
      </c>
      <c r="AP59" s="11" t="s">
        <v>250</v>
      </c>
      <c r="AQ59" s="14" t="s">
        <v>211</v>
      </c>
    </row>
    <row r="60" spans="1:43" outlineLevel="2" x14ac:dyDescent="0.45">
      <c r="A60" s="11" t="s">
        <v>251</v>
      </c>
      <c r="B60" s="11" t="s">
        <v>252</v>
      </c>
      <c r="C60" s="11" t="s">
        <v>94</v>
      </c>
      <c r="D60" s="11" t="s">
        <v>59</v>
      </c>
      <c r="E60" s="11" t="s">
        <v>72</v>
      </c>
      <c r="F60" s="11" t="s">
        <v>246</v>
      </c>
      <c r="G60" s="11" t="s">
        <v>84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f t="shared" si="35"/>
        <v>0</v>
      </c>
      <c r="U60" s="12">
        <f t="shared" si="36"/>
        <v>0</v>
      </c>
      <c r="V60" s="12">
        <f t="shared" si="37"/>
        <v>0</v>
      </c>
      <c r="W60" s="12">
        <f t="shared" si="38"/>
        <v>0</v>
      </c>
      <c r="X60" s="12">
        <f t="shared" si="39"/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f t="shared" si="40"/>
        <v>0</v>
      </c>
      <c r="AL60" s="12">
        <v>0</v>
      </c>
      <c r="AM60" s="12">
        <f t="shared" si="24"/>
        <v>0</v>
      </c>
      <c r="AN60" s="13">
        <f t="shared" si="25"/>
        <v>0</v>
      </c>
      <c r="AO60" s="12">
        <v>0</v>
      </c>
      <c r="AP60" s="11" t="s">
        <v>253</v>
      </c>
      <c r="AQ60" s="14"/>
    </row>
    <row r="61" spans="1:43" outlineLevel="2" x14ac:dyDescent="0.45">
      <c r="A61" s="11" t="s">
        <v>254</v>
      </c>
      <c r="B61" s="11" t="s">
        <v>255</v>
      </c>
      <c r="C61" s="11" t="s">
        <v>58</v>
      </c>
      <c r="D61" s="11" t="s">
        <v>59</v>
      </c>
      <c r="E61" s="11" t="s">
        <v>60</v>
      </c>
      <c r="F61" s="11" t="s">
        <v>83</v>
      </c>
      <c r="G61" s="11" t="s">
        <v>84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f t="shared" si="35"/>
        <v>0</v>
      </c>
      <c r="U61" s="12">
        <f t="shared" si="36"/>
        <v>0</v>
      </c>
      <c r="V61" s="12">
        <f t="shared" si="37"/>
        <v>0</v>
      </c>
      <c r="W61" s="12">
        <f t="shared" si="38"/>
        <v>0</v>
      </c>
      <c r="X61" s="12">
        <f t="shared" si="39"/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f t="shared" si="40"/>
        <v>0</v>
      </c>
      <c r="AL61" s="12">
        <v>0</v>
      </c>
      <c r="AM61" s="12">
        <f t="shared" si="24"/>
        <v>0</v>
      </c>
      <c r="AN61" s="13">
        <f t="shared" si="25"/>
        <v>0</v>
      </c>
      <c r="AO61" s="12">
        <v>0</v>
      </c>
      <c r="AP61" s="11" t="s">
        <v>256</v>
      </c>
      <c r="AQ61" s="14"/>
    </row>
    <row r="62" spans="1:43" outlineLevel="2" x14ac:dyDescent="0.45">
      <c r="A62" s="11" t="s">
        <v>257</v>
      </c>
      <c r="B62" s="11" t="s">
        <v>258</v>
      </c>
      <c r="C62" s="11" t="s">
        <v>58</v>
      </c>
      <c r="D62" s="11" t="s">
        <v>59</v>
      </c>
      <c r="E62" s="11" t="s">
        <v>72</v>
      </c>
      <c r="F62" s="11" t="s">
        <v>259</v>
      </c>
      <c r="G62" s="11" t="s">
        <v>62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f t="shared" si="35"/>
        <v>0</v>
      </c>
      <c r="U62" s="12">
        <f t="shared" si="36"/>
        <v>0</v>
      </c>
      <c r="V62" s="12">
        <f t="shared" si="37"/>
        <v>0</v>
      </c>
      <c r="W62" s="12">
        <f t="shared" si="38"/>
        <v>0</v>
      </c>
      <c r="X62" s="12">
        <f t="shared" si="39"/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f t="shared" si="40"/>
        <v>0</v>
      </c>
      <c r="AL62" s="12">
        <v>0</v>
      </c>
      <c r="AM62" s="12">
        <f t="shared" si="24"/>
        <v>0</v>
      </c>
      <c r="AN62" s="13">
        <f t="shared" si="25"/>
        <v>0</v>
      </c>
      <c r="AO62" s="12">
        <v>0</v>
      </c>
      <c r="AP62" s="11" t="s">
        <v>260</v>
      </c>
      <c r="AQ62" s="14"/>
    </row>
    <row r="63" spans="1:43" outlineLevel="2" x14ac:dyDescent="0.45">
      <c r="A63" s="11" t="s">
        <v>261</v>
      </c>
      <c r="B63" s="11" t="s">
        <v>262</v>
      </c>
      <c r="C63" s="11" t="s">
        <v>58</v>
      </c>
      <c r="D63" s="11" t="s">
        <v>59</v>
      </c>
      <c r="E63" s="11" t="s">
        <v>66</v>
      </c>
      <c r="F63" s="11" t="s">
        <v>214</v>
      </c>
      <c r="G63" s="11" t="s">
        <v>90</v>
      </c>
      <c r="H63" s="12">
        <v>9.5</v>
      </c>
      <c r="I63" s="12">
        <v>14</v>
      </c>
      <c r="J63" s="12">
        <v>23.9</v>
      </c>
      <c r="K63" s="12">
        <v>19.899999999999999</v>
      </c>
      <c r="L63" s="12">
        <v>24.2</v>
      </c>
      <c r="M63" s="12">
        <v>20.6</v>
      </c>
      <c r="N63" s="12">
        <v>11</v>
      </c>
      <c r="O63" s="12">
        <v>29.9</v>
      </c>
      <c r="P63" s="12">
        <v>21.4</v>
      </c>
      <c r="Q63" s="12">
        <v>13.3</v>
      </c>
      <c r="R63" s="12">
        <v>29.5</v>
      </c>
      <c r="S63" s="12">
        <v>18.8</v>
      </c>
      <c r="T63" s="12">
        <f t="shared" si="35"/>
        <v>47.4</v>
      </c>
      <c r="U63" s="12">
        <f t="shared" si="36"/>
        <v>64.699999999999989</v>
      </c>
      <c r="V63" s="12">
        <f t="shared" si="37"/>
        <v>62.3</v>
      </c>
      <c r="W63" s="12">
        <f t="shared" si="38"/>
        <v>61.599999999999994</v>
      </c>
      <c r="X63" s="12">
        <f t="shared" si="39"/>
        <v>235.99999999999997</v>
      </c>
      <c r="Y63" s="12">
        <v>5.7</v>
      </c>
      <c r="Z63" s="12">
        <v>15.9</v>
      </c>
      <c r="AA63" s="12">
        <v>22.6</v>
      </c>
      <c r="AB63" s="12">
        <v>17.600000000000001</v>
      </c>
      <c r="AC63" s="12">
        <v>13.5</v>
      </c>
      <c r="AD63" s="12">
        <v>16.5</v>
      </c>
      <c r="AE63" s="12">
        <v>10</v>
      </c>
      <c r="AF63" s="12">
        <v>16.600000000000001</v>
      </c>
      <c r="AG63" s="12">
        <v>12.4</v>
      </c>
      <c r="AH63" s="12">
        <v>0</v>
      </c>
      <c r="AI63" s="12">
        <v>0</v>
      </c>
      <c r="AJ63" s="12">
        <v>0</v>
      </c>
      <c r="AK63" s="12">
        <f t="shared" si="40"/>
        <v>130.80000000000001</v>
      </c>
      <c r="AL63" s="12">
        <v>189.6</v>
      </c>
      <c r="AM63" s="12">
        <f t="shared" si="24"/>
        <v>-46.399999999999977</v>
      </c>
      <c r="AN63" s="13">
        <f t="shared" si="25"/>
        <v>0.55423728813559336</v>
      </c>
      <c r="AO63" s="12">
        <v>240.6</v>
      </c>
      <c r="AP63" s="11" t="s">
        <v>263</v>
      </c>
      <c r="AQ63" s="14"/>
    </row>
    <row r="64" spans="1:43" ht="28.5" outlineLevel="2" x14ac:dyDescent="0.45">
      <c r="A64" s="11" t="s">
        <v>264</v>
      </c>
      <c r="B64" s="11" t="s">
        <v>265</v>
      </c>
      <c r="C64" s="11" t="s">
        <v>134</v>
      </c>
      <c r="D64" s="11" t="s">
        <v>59</v>
      </c>
      <c r="E64" s="11" t="s">
        <v>72</v>
      </c>
      <c r="F64" s="11" t="s">
        <v>61</v>
      </c>
      <c r="G64" s="11" t="s">
        <v>95</v>
      </c>
      <c r="H64" s="12">
        <v>184.1</v>
      </c>
      <c r="I64" s="12">
        <v>227.1</v>
      </c>
      <c r="J64" s="12">
        <v>194.4</v>
      </c>
      <c r="K64" s="12">
        <v>122.2</v>
      </c>
      <c r="L64" s="12">
        <v>243.8</v>
      </c>
      <c r="M64" s="12">
        <v>84.4</v>
      </c>
      <c r="N64" s="12">
        <v>240.9</v>
      </c>
      <c r="O64" s="12">
        <v>85.5</v>
      </c>
      <c r="P64" s="12">
        <v>204.4</v>
      </c>
      <c r="Q64" s="12">
        <v>126.3</v>
      </c>
      <c r="R64" s="12">
        <v>143</v>
      </c>
      <c r="S64" s="12">
        <v>225</v>
      </c>
      <c r="T64" s="12">
        <f t="shared" si="35"/>
        <v>605.6</v>
      </c>
      <c r="U64" s="12">
        <f t="shared" si="36"/>
        <v>450.4</v>
      </c>
      <c r="V64" s="12">
        <f t="shared" si="37"/>
        <v>530.79999999999995</v>
      </c>
      <c r="W64" s="12">
        <f t="shared" si="38"/>
        <v>494.3</v>
      </c>
      <c r="X64" s="12">
        <f t="shared" si="39"/>
        <v>2081.1</v>
      </c>
      <c r="Y64" s="12">
        <v>114</v>
      </c>
      <c r="Z64" s="12">
        <v>163.30000000000001</v>
      </c>
      <c r="AA64" s="12">
        <v>181.6</v>
      </c>
      <c r="AB64" s="12">
        <v>96.7</v>
      </c>
      <c r="AC64" s="12">
        <v>197.9</v>
      </c>
      <c r="AD64" s="12">
        <v>79.5</v>
      </c>
      <c r="AE64" s="12">
        <v>205.4</v>
      </c>
      <c r="AF64" s="12">
        <v>59.6</v>
      </c>
      <c r="AG64" s="12">
        <v>173.8</v>
      </c>
      <c r="AH64" s="12">
        <v>0</v>
      </c>
      <c r="AI64" s="12">
        <v>0</v>
      </c>
      <c r="AJ64" s="12">
        <v>0</v>
      </c>
      <c r="AK64" s="12">
        <f t="shared" si="40"/>
        <v>1271.8</v>
      </c>
      <c r="AL64" s="12">
        <v>1752.5</v>
      </c>
      <c r="AM64" s="12">
        <f t="shared" si="24"/>
        <v>-328.59999999999991</v>
      </c>
      <c r="AN64" s="13">
        <f t="shared" si="25"/>
        <v>0.61111911969631449</v>
      </c>
      <c r="AO64" s="12">
        <v>958</v>
      </c>
      <c r="AP64" s="11" t="s">
        <v>266</v>
      </c>
      <c r="AQ64" s="14" t="s">
        <v>97</v>
      </c>
    </row>
    <row r="65" spans="1:43" outlineLevel="2" x14ac:dyDescent="0.45">
      <c r="A65" s="11" t="s">
        <v>267</v>
      </c>
      <c r="B65" s="11" t="s">
        <v>268</v>
      </c>
      <c r="C65" s="11" t="s">
        <v>58</v>
      </c>
      <c r="D65" s="11" t="s">
        <v>59</v>
      </c>
      <c r="E65" s="11" t="s">
        <v>60</v>
      </c>
      <c r="F65" s="11" t="s">
        <v>100</v>
      </c>
      <c r="G65" s="11" t="s">
        <v>90</v>
      </c>
      <c r="H65" s="12">
        <v>0</v>
      </c>
      <c r="I65" s="12">
        <v>0</v>
      </c>
      <c r="J65" s="12">
        <v>0</v>
      </c>
      <c r="K65" s="12">
        <v>0</v>
      </c>
      <c r="L65" s="12">
        <v>46.7</v>
      </c>
      <c r="M65" s="12">
        <v>60.3</v>
      </c>
      <c r="N65" s="12">
        <v>58.7</v>
      </c>
      <c r="O65" s="12">
        <v>26.7</v>
      </c>
      <c r="P65" s="12">
        <v>47.6</v>
      </c>
      <c r="Q65" s="12">
        <v>62.7</v>
      </c>
      <c r="R65" s="12">
        <v>62.2</v>
      </c>
      <c r="S65" s="12">
        <v>45.8</v>
      </c>
      <c r="T65" s="12">
        <f t="shared" si="35"/>
        <v>0</v>
      </c>
      <c r="U65" s="12">
        <f t="shared" si="36"/>
        <v>107</v>
      </c>
      <c r="V65" s="12">
        <f t="shared" si="37"/>
        <v>133</v>
      </c>
      <c r="W65" s="12">
        <f t="shared" si="38"/>
        <v>170.7</v>
      </c>
      <c r="X65" s="12">
        <f t="shared" si="39"/>
        <v>410.7</v>
      </c>
      <c r="Y65" s="12">
        <v>0</v>
      </c>
      <c r="Z65" s="12">
        <v>0</v>
      </c>
      <c r="AA65" s="12">
        <v>0</v>
      </c>
      <c r="AB65" s="12">
        <v>0</v>
      </c>
      <c r="AC65" s="12">
        <v>37.6</v>
      </c>
      <c r="AD65" s="12">
        <v>57</v>
      </c>
      <c r="AE65" s="12">
        <v>53.4</v>
      </c>
      <c r="AF65" s="12">
        <v>17.899999999999999</v>
      </c>
      <c r="AG65" s="12">
        <v>29.7</v>
      </c>
      <c r="AH65" s="12">
        <v>0</v>
      </c>
      <c r="AI65" s="12">
        <v>0</v>
      </c>
      <c r="AJ65" s="12">
        <v>0</v>
      </c>
      <c r="AK65" s="12">
        <f t="shared" si="40"/>
        <v>195.6</v>
      </c>
      <c r="AL65" s="12">
        <v>392.2</v>
      </c>
      <c r="AM65" s="12">
        <f t="shared" si="24"/>
        <v>-18.5</v>
      </c>
      <c r="AN65" s="13">
        <f t="shared" si="25"/>
        <v>0.47626004382761139</v>
      </c>
      <c r="AO65" s="12">
        <v>215.1</v>
      </c>
      <c r="AP65" s="11" t="s">
        <v>269</v>
      </c>
      <c r="AQ65" s="14"/>
    </row>
    <row r="66" spans="1:43" outlineLevel="2" x14ac:dyDescent="0.45">
      <c r="A66" s="11" t="s">
        <v>270</v>
      </c>
      <c r="B66" s="11" t="s">
        <v>271</v>
      </c>
      <c r="C66" s="11" t="s">
        <v>94</v>
      </c>
      <c r="D66" s="11" t="s">
        <v>59</v>
      </c>
      <c r="E66" s="11" t="s">
        <v>60</v>
      </c>
      <c r="F66" s="11" t="s">
        <v>172</v>
      </c>
      <c r="G66" s="11" t="s">
        <v>95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f t="shared" si="35"/>
        <v>0</v>
      </c>
      <c r="U66" s="12">
        <f t="shared" si="36"/>
        <v>0</v>
      </c>
      <c r="V66" s="12">
        <f t="shared" si="37"/>
        <v>0</v>
      </c>
      <c r="W66" s="12">
        <f t="shared" si="38"/>
        <v>0</v>
      </c>
      <c r="X66" s="12">
        <f t="shared" si="39"/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f t="shared" si="40"/>
        <v>0</v>
      </c>
      <c r="AL66" s="12">
        <v>0</v>
      </c>
      <c r="AM66" s="12">
        <f t="shared" si="24"/>
        <v>0</v>
      </c>
      <c r="AN66" s="13">
        <f t="shared" si="25"/>
        <v>0</v>
      </c>
      <c r="AO66" s="12">
        <v>0</v>
      </c>
      <c r="AP66" s="11" t="s">
        <v>272</v>
      </c>
      <c r="AQ66" s="14" t="s">
        <v>154</v>
      </c>
    </row>
    <row r="67" spans="1:43" ht="15.75" x14ac:dyDescent="0.5">
      <c r="A67" s="3" t="s">
        <v>273</v>
      </c>
      <c r="B67" s="3" t="s">
        <v>274</v>
      </c>
      <c r="C67" s="3"/>
      <c r="D67" s="3"/>
      <c r="E67" s="3"/>
      <c r="F67" s="3"/>
      <c r="G67" s="3"/>
      <c r="H67" s="4">
        <f t="shared" ref="H67:AL67" si="41">SUBTOTAL(9,H68:H101)</f>
        <v>50.099999999999994</v>
      </c>
      <c r="I67" s="4">
        <f t="shared" si="41"/>
        <v>413.6</v>
      </c>
      <c r="J67" s="4">
        <f t="shared" si="41"/>
        <v>511.1</v>
      </c>
      <c r="K67" s="4">
        <f t="shared" si="41"/>
        <v>482.19999999999993</v>
      </c>
      <c r="L67" s="4">
        <f t="shared" si="41"/>
        <v>804.9</v>
      </c>
      <c r="M67" s="4">
        <f t="shared" si="41"/>
        <v>1033.9000000000001</v>
      </c>
      <c r="N67" s="4">
        <f t="shared" si="41"/>
        <v>1015.4999999999999</v>
      </c>
      <c r="O67" s="4">
        <f t="shared" si="41"/>
        <v>883.6</v>
      </c>
      <c r="P67" s="4">
        <f t="shared" si="41"/>
        <v>1200.4000000000001</v>
      </c>
      <c r="Q67" s="4">
        <f t="shared" si="41"/>
        <v>1003.7999999999998</v>
      </c>
      <c r="R67" s="4">
        <f t="shared" si="41"/>
        <v>856.7</v>
      </c>
      <c r="S67" s="4">
        <f t="shared" si="41"/>
        <v>989.1</v>
      </c>
      <c r="T67" s="4">
        <f t="shared" si="41"/>
        <v>974.8</v>
      </c>
      <c r="U67" s="4">
        <f t="shared" si="41"/>
        <v>2320.9999999999995</v>
      </c>
      <c r="V67" s="4">
        <f t="shared" si="41"/>
        <v>3099.5</v>
      </c>
      <c r="W67" s="4">
        <f t="shared" si="41"/>
        <v>2849.6</v>
      </c>
      <c r="X67" s="4">
        <f t="shared" si="41"/>
        <v>9244.9</v>
      </c>
      <c r="Y67" s="4">
        <f t="shared" si="41"/>
        <v>37.6</v>
      </c>
      <c r="Z67" s="4">
        <f t="shared" si="41"/>
        <v>431.8</v>
      </c>
      <c r="AA67" s="4">
        <f t="shared" si="41"/>
        <v>457.59999999999997</v>
      </c>
      <c r="AB67" s="4">
        <f t="shared" si="41"/>
        <v>440.70000000000005</v>
      </c>
      <c r="AC67" s="4">
        <f t="shared" si="41"/>
        <v>681.1</v>
      </c>
      <c r="AD67" s="4">
        <f t="shared" si="41"/>
        <v>840.49999999999989</v>
      </c>
      <c r="AE67" s="4">
        <f t="shared" si="41"/>
        <v>890.9000000000002</v>
      </c>
      <c r="AF67" s="4">
        <f t="shared" si="41"/>
        <v>750.09999999999991</v>
      </c>
      <c r="AG67" s="4">
        <f t="shared" si="41"/>
        <v>1054.1999999999998</v>
      </c>
      <c r="AH67" s="4">
        <f t="shared" si="41"/>
        <v>31.8</v>
      </c>
      <c r="AI67" s="4">
        <f t="shared" si="41"/>
        <v>25.3</v>
      </c>
      <c r="AJ67" s="4">
        <f t="shared" si="41"/>
        <v>14.1</v>
      </c>
      <c r="AK67" s="4">
        <f t="shared" si="41"/>
        <v>5655.7</v>
      </c>
      <c r="AL67" s="4">
        <f t="shared" si="41"/>
        <v>8565.6</v>
      </c>
      <c r="AM67" s="4">
        <f t="shared" si="24"/>
        <v>-679.29999999999927</v>
      </c>
      <c r="AN67" s="5">
        <f t="shared" si="25"/>
        <v>0.61176432411383574</v>
      </c>
      <c r="AO67" s="4">
        <f>SUBTOTAL(9,AO68:AO101)</f>
        <v>6093.6</v>
      </c>
      <c r="AP67" s="3"/>
      <c r="AQ67" s="6"/>
    </row>
    <row r="68" spans="1:43" outlineLevel="1" x14ac:dyDescent="0.45">
      <c r="A68" s="7" t="s">
        <v>275</v>
      </c>
      <c r="B68" s="7" t="s">
        <v>276</v>
      </c>
      <c r="C68" s="7"/>
      <c r="D68" s="7"/>
      <c r="E68" s="7"/>
      <c r="F68" s="7"/>
      <c r="G68" s="7"/>
      <c r="H68" s="8">
        <f t="shared" ref="H68:AL68" si="42">SUBTOTAL(9,H69:H78)</f>
        <v>0</v>
      </c>
      <c r="I68" s="8">
        <f t="shared" si="42"/>
        <v>253.4</v>
      </c>
      <c r="J68" s="8">
        <f t="shared" si="42"/>
        <v>233</v>
      </c>
      <c r="K68" s="8">
        <f t="shared" si="42"/>
        <v>176.8</v>
      </c>
      <c r="L68" s="8">
        <f t="shared" si="42"/>
        <v>119.2</v>
      </c>
      <c r="M68" s="8">
        <f t="shared" si="42"/>
        <v>166.90000000000003</v>
      </c>
      <c r="N68" s="8">
        <f t="shared" si="42"/>
        <v>131.29999999999998</v>
      </c>
      <c r="O68" s="8">
        <f t="shared" si="42"/>
        <v>161.5</v>
      </c>
      <c r="P68" s="8">
        <f t="shared" si="42"/>
        <v>345</v>
      </c>
      <c r="Q68" s="8">
        <f t="shared" si="42"/>
        <v>150.1</v>
      </c>
      <c r="R68" s="8">
        <f t="shared" si="42"/>
        <v>182.5</v>
      </c>
      <c r="S68" s="8">
        <f t="shared" si="42"/>
        <v>265.8</v>
      </c>
      <c r="T68" s="8">
        <f t="shared" si="42"/>
        <v>486.4</v>
      </c>
      <c r="U68" s="8">
        <f t="shared" si="42"/>
        <v>462.90000000000003</v>
      </c>
      <c r="V68" s="8">
        <f t="shared" si="42"/>
        <v>637.79999999999995</v>
      </c>
      <c r="W68" s="8">
        <f t="shared" si="42"/>
        <v>598.4</v>
      </c>
      <c r="X68" s="8">
        <f t="shared" si="42"/>
        <v>2185.5</v>
      </c>
      <c r="Y68" s="8">
        <f t="shared" si="42"/>
        <v>0</v>
      </c>
      <c r="Z68" s="8">
        <f t="shared" si="42"/>
        <v>269.5</v>
      </c>
      <c r="AA68" s="8">
        <f t="shared" si="42"/>
        <v>227.3</v>
      </c>
      <c r="AB68" s="8">
        <f t="shared" si="42"/>
        <v>175.1</v>
      </c>
      <c r="AC68" s="8">
        <f t="shared" si="42"/>
        <v>81.099999999999994</v>
      </c>
      <c r="AD68" s="8">
        <f t="shared" si="42"/>
        <v>156.6</v>
      </c>
      <c r="AE68" s="8">
        <f t="shared" si="42"/>
        <v>100.6</v>
      </c>
      <c r="AF68" s="8">
        <f t="shared" si="42"/>
        <v>140.6</v>
      </c>
      <c r="AG68" s="8">
        <f t="shared" si="42"/>
        <v>281.89999999999998</v>
      </c>
      <c r="AH68" s="8">
        <f t="shared" si="42"/>
        <v>0</v>
      </c>
      <c r="AI68" s="8">
        <f t="shared" si="42"/>
        <v>0</v>
      </c>
      <c r="AJ68" s="8">
        <f t="shared" si="42"/>
        <v>0</v>
      </c>
      <c r="AK68" s="8">
        <f t="shared" si="42"/>
        <v>1432.7000000000003</v>
      </c>
      <c r="AL68" s="8">
        <f t="shared" si="42"/>
        <v>2034.1000000000001</v>
      </c>
      <c r="AM68" s="8">
        <f t="shared" si="24"/>
        <v>-151.39999999999986</v>
      </c>
      <c r="AN68" s="9">
        <f t="shared" si="25"/>
        <v>0.6555479295355755</v>
      </c>
      <c r="AO68" s="8">
        <f>SUBTOTAL(9,AO69:AO78)</f>
        <v>1022</v>
      </c>
      <c r="AP68" s="7"/>
      <c r="AQ68" s="10"/>
    </row>
    <row r="69" spans="1:43" outlineLevel="2" x14ac:dyDescent="0.45">
      <c r="A69" s="11" t="s">
        <v>277</v>
      </c>
      <c r="B69" s="11" t="s">
        <v>278</v>
      </c>
      <c r="C69" s="11" t="s">
        <v>71</v>
      </c>
      <c r="D69" s="11" t="s">
        <v>59</v>
      </c>
      <c r="E69" s="11" t="s">
        <v>66</v>
      </c>
      <c r="F69" s="11" t="s">
        <v>61</v>
      </c>
      <c r="G69" s="11" t="s">
        <v>95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f t="shared" ref="T69:T78" si="43">SUM(H69:J69)</f>
        <v>0</v>
      </c>
      <c r="U69" s="12">
        <f t="shared" ref="U69:U78" si="44">SUM(K69:M69)</f>
        <v>0</v>
      </c>
      <c r="V69" s="12">
        <f t="shared" ref="V69:V78" si="45">SUM(N69:P69)</f>
        <v>0</v>
      </c>
      <c r="W69" s="12">
        <f t="shared" ref="W69:W78" si="46">SUM(Q69:S69)</f>
        <v>0</v>
      </c>
      <c r="X69" s="12">
        <f t="shared" ref="X69:X78" si="47">SUM(T69:W69)</f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f t="shared" ref="AK69:AK78" si="48">SUM(Y69:AJ69)</f>
        <v>0</v>
      </c>
      <c r="AL69" s="12">
        <v>0</v>
      </c>
      <c r="AM69" s="12">
        <f t="shared" si="24"/>
        <v>0</v>
      </c>
      <c r="AN69" s="13">
        <f t="shared" si="25"/>
        <v>0</v>
      </c>
      <c r="AO69" s="12">
        <v>0</v>
      </c>
      <c r="AP69" s="11" t="s">
        <v>279</v>
      </c>
      <c r="AQ69" s="14"/>
    </row>
    <row r="70" spans="1:43" outlineLevel="2" x14ac:dyDescent="0.45">
      <c r="A70" s="11" t="s">
        <v>280</v>
      </c>
      <c r="B70" s="11" t="s">
        <v>281</v>
      </c>
      <c r="C70" s="11" t="s">
        <v>88</v>
      </c>
      <c r="D70" s="11" t="s">
        <v>59</v>
      </c>
      <c r="E70" s="11" t="s">
        <v>60</v>
      </c>
      <c r="F70" s="11" t="s">
        <v>127</v>
      </c>
      <c r="G70" s="11" t="s">
        <v>84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f t="shared" si="43"/>
        <v>0</v>
      </c>
      <c r="U70" s="12">
        <f t="shared" si="44"/>
        <v>0</v>
      </c>
      <c r="V70" s="12">
        <f t="shared" si="45"/>
        <v>0</v>
      </c>
      <c r="W70" s="12">
        <f t="shared" si="46"/>
        <v>0</v>
      </c>
      <c r="X70" s="12">
        <f t="shared" si="47"/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f t="shared" si="48"/>
        <v>0</v>
      </c>
      <c r="AL70" s="12">
        <v>0</v>
      </c>
      <c r="AM70" s="12">
        <f t="shared" ref="AM70:AM101" si="49">AL70-X70</f>
        <v>0</v>
      </c>
      <c r="AN70" s="13">
        <f t="shared" ref="AN70:AN101" si="50">IF(X70=0,0,AK70/X70)</f>
        <v>0</v>
      </c>
      <c r="AO70" s="12">
        <v>0</v>
      </c>
      <c r="AP70" s="11" t="s">
        <v>282</v>
      </c>
      <c r="AQ70" s="14"/>
    </row>
    <row r="71" spans="1:43" outlineLevel="2" x14ac:dyDescent="0.45">
      <c r="A71" s="11" t="s">
        <v>283</v>
      </c>
      <c r="B71" s="11" t="s">
        <v>284</v>
      </c>
      <c r="C71" s="11" t="s">
        <v>58</v>
      </c>
      <c r="D71" s="11" t="s">
        <v>59</v>
      </c>
      <c r="E71" s="11" t="s">
        <v>60</v>
      </c>
      <c r="F71" s="11" t="s">
        <v>285</v>
      </c>
      <c r="G71" s="11" t="s">
        <v>84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f t="shared" si="43"/>
        <v>0</v>
      </c>
      <c r="U71" s="12">
        <f t="shared" si="44"/>
        <v>0</v>
      </c>
      <c r="V71" s="12">
        <f t="shared" si="45"/>
        <v>0</v>
      </c>
      <c r="W71" s="12">
        <f t="shared" si="46"/>
        <v>0</v>
      </c>
      <c r="X71" s="12">
        <f t="shared" si="47"/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f t="shared" si="48"/>
        <v>0</v>
      </c>
      <c r="AL71" s="12">
        <v>0</v>
      </c>
      <c r="AM71" s="12">
        <f t="shared" si="49"/>
        <v>0</v>
      </c>
      <c r="AN71" s="13">
        <f t="shared" si="50"/>
        <v>0</v>
      </c>
      <c r="AO71" s="12">
        <v>0</v>
      </c>
      <c r="AP71" s="11" t="s">
        <v>286</v>
      </c>
      <c r="AQ71" s="14"/>
    </row>
    <row r="72" spans="1:43" outlineLevel="2" x14ac:dyDescent="0.45">
      <c r="A72" s="11" t="s">
        <v>287</v>
      </c>
      <c r="B72" s="11" t="s">
        <v>288</v>
      </c>
      <c r="C72" s="11" t="s">
        <v>58</v>
      </c>
      <c r="D72" s="11" t="s">
        <v>59</v>
      </c>
      <c r="E72" s="11" t="s">
        <v>66</v>
      </c>
      <c r="F72" s="11" t="s">
        <v>202</v>
      </c>
      <c r="G72" s="11" t="s">
        <v>90</v>
      </c>
      <c r="H72" s="12">
        <v>0</v>
      </c>
      <c r="I72" s="12">
        <v>0</v>
      </c>
      <c r="J72" s="12">
        <v>60.4</v>
      </c>
      <c r="K72" s="12">
        <v>33</v>
      </c>
      <c r="L72" s="12">
        <v>49.3</v>
      </c>
      <c r="M72" s="12">
        <v>42.2</v>
      </c>
      <c r="N72" s="12">
        <v>36.799999999999997</v>
      </c>
      <c r="O72" s="12">
        <v>23.4</v>
      </c>
      <c r="P72" s="12">
        <v>68.2</v>
      </c>
      <c r="Q72" s="12">
        <v>44.3</v>
      </c>
      <c r="R72" s="12">
        <v>60.2</v>
      </c>
      <c r="S72" s="12">
        <v>31</v>
      </c>
      <c r="T72" s="12">
        <f t="shared" si="43"/>
        <v>60.4</v>
      </c>
      <c r="U72" s="12">
        <f t="shared" si="44"/>
        <v>124.5</v>
      </c>
      <c r="V72" s="12">
        <f t="shared" si="45"/>
        <v>128.4</v>
      </c>
      <c r="W72" s="12">
        <f t="shared" si="46"/>
        <v>135.5</v>
      </c>
      <c r="X72" s="12">
        <f t="shared" si="47"/>
        <v>448.8</v>
      </c>
      <c r="Y72" s="12">
        <v>0</v>
      </c>
      <c r="Z72" s="12">
        <v>0</v>
      </c>
      <c r="AA72" s="12">
        <v>54.8</v>
      </c>
      <c r="AB72" s="12">
        <v>22.4</v>
      </c>
      <c r="AC72" s="12">
        <v>32</v>
      </c>
      <c r="AD72" s="12">
        <v>38.6</v>
      </c>
      <c r="AE72" s="12">
        <v>39</v>
      </c>
      <c r="AF72" s="12">
        <v>18.5</v>
      </c>
      <c r="AG72" s="12">
        <v>37.6</v>
      </c>
      <c r="AH72" s="12">
        <v>0</v>
      </c>
      <c r="AI72" s="12">
        <v>0</v>
      </c>
      <c r="AJ72" s="12">
        <v>0</v>
      </c>
      <c r="AK72" s="12">
        <f t="shared" si="48"/>
        <v>242.89999999999998</v>
      </c>
      <c r="AL72" s="12">
        <v>388.4</v>
      </c>
      <c r="AM72" s="12">
        <f t="shared" si="49"/>
        <v>-60.400000000000034</v>
      </c>
      <c r="AN72" s="13">
        <f t="shared" si="50"/>
        <v>0.54122103386809262</v>
      </c>
      <c r="AO72" s="12">
        <v>590.79999999999995</v>
      </c>
      <c r="AP72" s="11" t="s">
        <v>289</v>
      </c>
      <c r="AQ72" s="14"/>
    </row>
    <row r="73" spans="1:43" ht="28.5" outlineLevel="2" x14ac:dyDescent="0.45">
      <c r="A73" s="11" t="s">
        <v>290</v>
      </c>
      <c r="B73" s="11" t="s">
        <v>291</v>
      </c>
      <c r="C73" s="11" t="s">
        <v>71</v>
      </c>
      <c r="D73" s="11" t="s">
        <v>59</v>
      </c>
      <c r="E73" s="11" t="s">
        <v>60</v>
      </c>
      <c r="F73" s="11" t="s">
        <v>100</v>
      </c>
      <c r="G73" s="11" t="s">
        <v>84</v>
      </c>
      <c r="H73" s="12">
        <v>0</v>
      </c>
      <c r="I73" s="12">
        <v>253.4</v>
      </c>
      <c r="J73" s="12">
        <v>172.6</v>
      </c>
      <c r="K73" s="12">
        <v>143.80000000000001</v>
      </c>
      <c r="L73" s="12">
        <v>69.900000000000006</v>
      </c>
      <c r="M73" s="12">
        <v>104.9</v>
      </c>
      <c r="N73" s="12">
        <v>75.3</v>
      </c>
      <c r="O73" s="12">
        <v>111.9</v>
      </c>
      <c r="P73" s="12">
        <v>248.4</v>
      </c>
      <c r="Q73" s="12">
        <v>76.900000000000006</v>
      </c>
      <c r="R73" s="12">
        <v>109.1</v>
      </c>
      <c r="S73" s="12">
        <v>220.5</v>
      </c>
      <c r="T73" s="12">
        <f t="shared" si="43"/>
        <v>426</v>
      </c>
      <c r="U73" s="12">
        <f t="shared" si="44"/>
        <v>318.60000000000002</v>
      </c>
      <c r="V73" s="12">
        <f t="shared" si="45"/>
        <v>435.6</v>
      </c>
      <c r="W73" s="12">
        <f t="shared" si="46"/>
        <v>406.5</v>
      </c>
      <c r="X73" s="12">
        <f t="shared" si="47"/>
        <v>1586.7</v>
      </c>
      <c r="Y73" s="12">
        <v>0</v>
      </c>
      <c r="Z73" s="12">
        <v>269.5</v>
      </c>
      <c r="AA73" s="12">
        <v>172.5</v>
      </c>
      <c r="AB73" s="12">
        <v>152.69999999999999</v>
      </c>
      <c r="AC73" s="12">
        <v>49.1</v>
      </c>
      <c r="AD73" s="12">
        <v>99.6</v>
      </c>
      <c r="AE73" s="12">
        <v>49.1</v>
      </c>
      <c r="AF73" s="12">
        <v>96.6</v>
      </c>
      <c r="AG73" s="12">
        <v>212.7</v>
      </c>
      <c r="AH73" s="12">
        <v>0</v>
      </c>
      <c r="AI73" s="12">
        <v>0</v>
      </c>
      <c r="AJ73" s="12">
        <v>0</v>
      </c>
      <c r="AK73" s="12">
        <f t="shared" si="48"/>
        <v>1101.8000000000002</v>
      </c>
      <c r="AL73" s="12">
        <v>1496.4</v>
      </c>
      <c r="AM73" s="12">
        <f t="shared" si="49"/>
        <v>-90.299999999999955</v>
      </c>
      <c r="AN73" s="13">
        <f t="shared" si="50"/>
        <v>0.69439717652990496</v>
      </c>
      <c r="AO73" s="12">
        <v>184.4</v>
      </c>
      <c r="AP73" s="11" t="s">
        <v>292</v>
      </c>
      <c r="AQ73" s="14" t="s">
        <v>97</v>
      </c>
    </row>
    <row r="74" spans="1:43" outlineLevel="2" x14ac:dyDescent="0.45">
      <c r="A74" s="11" t="s">
        <v>293</v>
      </c>
      <c r="B74" s="11" t="s">
        <v>294</v>
      </c>
      <c r="C74" s="11" t="s">
        <v>94</v>
      </c>
      <c r="D74" s="11" t="s">
        <v>59</v>
      </c>
      <c r="E74" s="11" t="s">
        <v>72</v>
      </c>
      <c r="F74" s="11" t="s">
        <v>100</v>
      </c>
      <c r="G74" s="11" t="s">
        <v>90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f t="shared" si="43"/>
        <v>0</v>
      </c>
      <c r="U74" s="12">
        <f t="shared" si="44"/>
        <v>0</v>
      </c>
      <c r="V74" s="12">
        <f t="shared" si="45"/>
        <v>0</v>
      </c>
      <c r="W74" s="12">
        <f t="shared" si="46"/>
        <v>0</v>
      </c>
      <c r="X74" s="12">
        <f t="shared" si="47"/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f t="shared" si="48"/>
        <v>0</v>
      </c>
      <c r="AL74" s="12">
        <v>0</v>
      </c>
      <c r="AM74" s="12">
        <f t="shared" si="49"/>
        <v>0</v>
      </c>
      <c r="AN74" s="13">
        <f t="shared" si="50"/>
        <v>0</v>
      </c>
      <c r="AO74" s="12">
        <v>0</v>
      </c>
      <c r="AP74" s="11" t="s">
        <v>295</v>
      </c>
      <c r="AQ74" s="14"/>
    </row>
    <row r="75" spans="1:43" outlineLevel="2" x14ac:dyDescent="0.45">
      <c r="A75" s="11" t="s">
        <v>296</v>
      </c>
      <c r="B75" s="11" t="s">
        <v>297</v>
      </c>
      <c r="C75" s="11" t="s">
        <v>58</v>
      </c>
      <c r="D75" s="11" t="s">
        <v>59</v>
      </c>
      <c r="E75" s="11" t="s">
        <v>72</v>
      </c>
      <c r="F75" s="11" t="s">
        <v>61</v>
      </c>
      <c r="G75" s="11" t="s">
        <v>90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f t="shared" si="43"/>
        <v>0</v>
      </c>
      <c r="U75" s="12">
        <f t="shared" si="44"/>
        <v>0</v>
      </c>
      <c r="V75" s="12">
        <f t="shared" si="45"/>
        <v>0</v>
      </c>
      <c r="W75" s="12">
        <f t="shared" si="46"/>
        <v>0</v>
      </c>
      <c r="X75" s="12">
        <f t="shared" si="47"/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f t="shared" si="48"/>
        <v>0</v>
      </c>
      <c r="AL75" s="12">
        <v>0</v>
      </c>
      <c r="AM75" s="12">
        <f t="shared" si="49"/>
        <v>0</v>
      </c>
      <c r="AN75" s="13">
        <f t="shared" si="50"/>
        <v>0</v>
      </c>
      <c r="AO75" s="12">
        <v>0</v>
      </c>
      <c r="AP75" s="11" t="s">
        <v>298</v>
      </c>
      <c r="AQ75" s="14"/>
    </row>
    <row r="76" spans="1:43" hidden="1" outlineLevel="2" x14ac:dyDescent="0.45">
      <c r="A76" s="11" t="s">
        <v>299</v>
      </c>
      <c r="B76" s="11" t="s">
        <v>300</v>
      </c>
      <c r="C76" s="11" t="s">
        <v>88</v>
      </c>
      <c r="D76" s="11" t="s">
        <v>59</v>
      </c>
      <c r="E76" s="11" t="s">
        <v>60</v>
      </c>
      <c r="F76" s="11" t="s">
        <v>168</v>
      </c>
      <c r="G76" s="11" t="s">
        <v>84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f t="shared" si="43"/>
        <v>0</v>
      </c>
      <c r="U76" s="12">
        <f t="shared" si="44"/>
        <v>0</v>
      </c>
      <c r="V76" s="12">
        <f t="shared" si="45"/>
        <v>0</v>
      </c>
      <c r="W76" s="12">
        <f t="shared" si="46"/>
        <v>0</v>
      </c>
      <c r="X76" s="12">
        <f t="shared" si="47"/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f t="shared" si="48"/>
        <v>0</v>
      </c>
      <c r="AL76" s="12">
        <v>0</v>
      </c>
      <c r="AM76" s="12">
        <f t="shared" si="49"/>
        <v>0</v>
      </c>
      <c r="AN76" s="13">
        <f t="shared" si="50"/>
        <v>0</v>
      </c>
      <c r="AO76" s="12">
        <v>221.8</v>
      </c>
      <c r="AP76" s="11" t="s">
        <v>301</v>
      </c>
      <c r="AQ76" s="14" t="s">
        <v>147</v>
      </c>
    </row>
    <row r="77" spans="1:43" outlineLevel="2" x14ac:dyDescent="0.45">
      <c r="A77" s="11" t="s">
        <v>302</v>
      </c>
      <c r="B77" s="11" t="s">
        <v>303</v>
      </c>
      <c r="C77" s="11" t="s">
        <v>88</v>
      </c>
      <c r="D77" s="11" t="s">
        <v>59</v>
      </c>
      <c r="E77" s="11" t="s">
        <v>66</v>
      </c>
      <c r="F77" s="11" t="s">
        <v>105</v>
      </c>
      <c r="G77" s="11" t="s">
        <v>84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19.8</v>
      </c>
      <c r="N77" s="12">
        <v>19.2</v>
      </c>
      <c r="O77" s="12">
        <v>26.2</v>
      </c>
      <c r="P77" s="12">
        <v>28.4</v>
      </c>
      <c r="Q77" s="12">
        <v>28.9</v>
      </c>
      <c r="R77" s="12">
        <v>13.2</v>
      </c>
      <c r="S77" s="12">
        <v>14.3</v>
      </c>
      <c r="T77" s="12">
        <f t="shared" si="43"/>
        <v>0</v>
      </c>
      <c r="U77" s="12">
        <f t="shared" si="44"/>
        <v>19.8</v>
      </c>
      <c r="V77" s="12">
        <f t="shared" si="45"/>
        <v>73.8</v>
      </c>
      <c r="W77" s="12">
        <f t="shared" si="46"/>
        <v>56.399999999999991</v>
      </c>
      <c r="X77" s="12">
        <f t="shared" si="47"/>
        <v>150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18.399999999999999</v>
      </c>
      <c r="AE77" s="12">
        <v>12.5</v>
      </c>
      <c r="AF77" s="12">
        <v>25.5</v>
      </c>
      <c r="AG77" s="12">
        <v>31.6</v>
      </c>
      <c r="AH77" s="12">
        <v>0</v>
      </c>
      <c r="AI77" s="12">
        <v>0</v>
      </c>
      <c r="AJ77" s="12">
        <v>0</v>
      </c>
      <c r="AK77" s="12">
        <f t="shared" si="48"/>
        <v>88</v>
      </c>
      <c r="AL77" s="12">
        <v>149.30000000000001</v>
      </c>
      <c r="AM77" s="12">
        <f t="shared" si="49"/>
        <v>-0.69999999999998863</v>
      </c>
      <c r="AN77" s="13">
        <f t="shared" si="50"/>
        <v>0.58666666666666667</v>
      </c>
      <c r="AO77" s="12">
        <v>25</v>
      </c>
      <c r="AP77" s="11" t="s">
        <v>304</v>
      </c>
      <c r="AQ77" s="14" t="s">
        <v>305</v>
      </c>
    </row>
    <row r="78" spans="1:43" outlineLevel="2" x14ac:dyDescent="0.45">
      <c r="A78" s="11" t="s">
        <v>306</v>
      </c>
      <c r="B78" s="11" t="s">
        <v>307</v>
      </c>
      <c r="C78" s="11" t="s">
        <v>88</v>
      </c>
      <c r="D78" s="11" t="s">
        <v>59</v>
      </c>
      <c r="E78" s="11" t="s">
        <v>60</v>
      </c>
      <c r="F78" s="11" t="s">
        <v>214</v>
      </c>
      <c r="G78" s="11" t="s">
        <v>62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f t="shared" si="43"/>
        <v>0</v>
      </c>
      <c r="U78" s="12">
        <f t="shared" si="44"/>
        <v>0</v>
      </c>
      <c r="V78" s="12">
        <f t="shared" si="45"/>
        <v>0</v>
      </c>
      <c r="W78" s="12">
        <f t="shared" si="46"/>
        <v>0</v>
      </c>
      <c r="X78" s="12">
        <f t="shared" si="47"/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f t="shared" si="48"/>
        <v>0</v>
      </c>
      <c r="AL78" s="12">
        <v>0</v>
      </c>
      <c r="AM78" s="12">
        <f t="shared" si="49"/>
        <v>0</v>
      </c>
      <c r="AN78" s="13">
        <f t="shared" si="50"/>
        <v>0</v>
      </c>
      <c r="AO78" s="12">
        <v>0</v>
      </c>
      <c r="AP78" s="11" t="s">
        <v>308</v>
      </c>
      <c r="AQ78" s="14"/>
    </row>
    <row r="79" spans="1:43" outlineLevel="1" x14ac:dyDescent="0.45">
      <c r="A79" s="7" t="s">
        <v>309</v>
      </c>
      <c r="B79" s="7" t="s">
        <v>310</v>
      </c>
      <c r="C79" s="7"/>
      <c r="D79" s="7"/>
      <c r="E79" s="7"/>
      <c r="F79" s="7"/>
      <c r="G79" s="7"/>
      <c r="H79" s="8">
        <f t="shared" ref="H79:AL79" si="51">SUBTOTAL(9,H80:H90)</f>
        <v>12.7</v>
      </c>
      <c r="I79" s="8">
        <f t="shared" si="51"/>
        <v>116.9</v>
      </c>
      <c r="J79" s="8">
        <f t="shared" si="51"/>
        <v>234.4</v>
      </c>
      <c r="K79" s="8">
        <f t="shared" si="51"/>
        <v>183.20000000000002</v>
      </c>
      <c r="L79" s="8">
        <f t="shared" si="51"/>
        <v>442.70000000000005</v>
      </c>
      <c r="M79" s="8">
        <f t="shared" si="51"/>
        <v>482.6</v>
      </c>
      <c r="N79" s="8">
        <f t="shared" si="51"/>
        <v>448.79999999999995</v>
      </c>
      <c r="O79" s="8">
        <f t="shared" si="51"/>
        <v>325.10000000000002</v>
      </c>
      <c r="P79" s="8">
        <f t="shared" si="51"/>
        <v>408.49999999999994</v>
      </c>
      <c r="Q79" s="8">
        <f t="shared" si="51"/>
        <v>400.59999999999997</v>
      </c>
      <c r="R79" s="8">
        <f t="shared" si="51"/>
        <v>313</v>
      </c>
      <c r="S79" s="8">
        <f t="shared" si="51"/>
        <v>406.29999999999995</v>
      </c>
      <c r="T79" s="8">
        <f t="shared" si="51"/>
        <v>364</v>
      </c>
      <c r="U79" s="8">
        <f t="shared" si="51"/>
        <v>1108.5</v>
      </c>
      <c r="V79" s="8">
        <f t="shared" si="51"/>
        <v>1182.4000000000001</v>
      </c>
      <c r="W79" s="8">
        <f t="shared" si="51"/>
        <v>1119.9000000000001</v>
      </c>
      <c r="X79" s="8">
        <f t="shared" si="51"/>
        <v>3774.7999999999997</v>
      </c>
      <c r="Y79" s="8">
        <f t="shared" si="51"/>
        <v>8.3000000000000007</v>
      </c>
      <c r="Z79" s="8">
        <f t="shared" si="51"/>
        <v>124.8</v>
      </c>
      <c r="AA79" s="8">
        <f t="shared" si="51"/>
        <v>183.89999999999998</v>
      </c>
      <c r="AB79" s="8">
        <f t="shared" si="51"/>
        <v>160.10000000000002</v>
      </c>
      <c r="AC79" s="8">
        <f t="shared" si="51"/>
        <v>359.5</v>
      </c>
      <c r="AD79" s="8">
        <f t="shared" si="51"/>
        <v>369.9</v>
      </c>
      <c r="AE79" s="8">
        <f t="shared" si="51"/>
        <v>417.2</v>
      </c>
      <c r="AF79" s="8">
        <f t="shared" si="51"/>
        <v>281.20000000000005</v>
      </c>
      <c r="AG79" s="8">
        <f t="shared" si="51"/>
        <v>363.79999999999995</v>
      </c>
      <c r="AH79" s="8">
        <f t="shared" si="51"/>
        <v>0</v>
      </c>
      <c r="AI79" s="8">
        <f t="shared" si="51"/>
        <v>0</v>
      </c>
      <c r="AJ79" s="8">
        <f t="shared" si="51"/>
        <v>0</v>
      </c>
      <c r="AK79" s="8">
        <f t="shared" si="51"/>
        <v>2268.6999999999998</v>
      </c>
      <c r="AL79" s="8">
        <f t="shared" si="51"/>
        <v>3385.3</v>
      </c>
      <c r="AM79" s="8">
        <f t="shared" si="49"/>
        <v>-389.49999999999955</v>
      </c>
      <c r="AN79" s="9">
        <f t="shared" si="50"/>
        <v>0.6010119741443255</v>
      </c>
      <c r="AO79" s="8">
        <f>SUBTOTAL(9,AO80:AO90)</f>
        <v>2586.3999999999996</v>
      </c>
      <c r="AP79" s="7"/>
      <c r="AQ79" s="10"/>
    </row>
    <row r="80" spans="1:43" outlineLevel="2" x14ac:dyDescent="0.45">
      <c r="A80" s="11" t="s">
        <v>311</v>
      </c>
      <c r="B80" s="11" t="s">
        <v>312</v>
      </c>
      <c r="C80" s="11" t="s">
        <v>58</v>
      </c>
      <c r="D80" s="11" t="s">
        <v>59</v>
      </c>
      <c r="E80" s="11" t="s">
        <v>60</v>
      </c>
      <c r="F80" s="11" t="s">
        <v>61</v>
      </c>
      <c r="G80" s="11" t="s">
        <v>84</v>
      </c>
      <c r="H80" s="12">
        <v>0</v>
      </c>
      <c r="I80" s="12">
        <v>68.900000000000006</v>
      </c>
      <c r="J80" s="12">
        <v>120.6</v>
      </c>
      <c r="K80" s="12">
        <v>81.5</v>
      </c>
      <c r="L80" s="12">
        <v>253.4</v>
      </c>
      <c r="M80" s="12">
        <v>146.5</v>
      </c>
      <c r="N80" s="12">
        <v>219.4</v>
      </c>
      <c r="O80" s="12">
        <v>84.1</v>
      </c>
      <c r="P80" s="12">
        <v>172.4</v>
      </c>
      <c r="Q80" s="12">
        <v>82.8</v>
      </c>
      <c r="R80" s="12">
        <v>78.599999999999994</v>
      </c>
      <c r="S80" s="12">
        <v>153.1</v>
      </c>
      <c r="T80" s="12">
        <f t="shared" ref="T80:T90" si="52">SUM(H80:J80)</f>
        <v>189.5</v>
      </c>
      <c r="U80" s="12">
        <f t="shared" ref="U80:U90" si="53">SUM(K80:M80)</f>
        <v>481.4</v>
      </c>
      <c r="V80" s="12">
        <f t="shared" ref="V80:V90" si="54">SUM(N80:P80)</f>
        <v>475.9</v>
      </c>
      <c r="W80" s="12">
        <f t="shared" ref="W80:W90" si="55">SUM(Q80:S80)</f>
        <v>314.5</v>
      </c>
      <c r="X80" s="12">
        <f t="shared" ref="X80:X90" si="56">SUM(T80:W80)</f>
        <v>1461.3</v>
      </c>
      <c r="Y80" s="12">
        <v>0</v>
      </c>
      <c r="Z80" s="12">
        <v>77.8</v>
      </c>
      <c r="AA80" s="12">
        <v>89.6</v>
      </c>
      <c r="AB80" s="12">
        <v>72.2</v>
      </c>
      <c r="AC80" s="12">
        <v>171.6</v>
      </c>
      <c r="AD80" s="12">
        <v>98.9</v>
      </c>
      <c r="AE80" s="12">
        <v>212.6</v>
      </c>
      <c r="AF80" s="12">
        <v>81.400000000000006</v>
      </c>
      <c r="AG80" s="12">
        <v>143.4</v>
      </c>
      <c r="AH80" s="12">
        <v>0</v>
      </c>
      <c r="AI80" s="12">
        <v>0</v>
      </c>
      <c r="AJ80" s="12">
        <v>0</v>
      </c>
      <c r="AK80" s="12">
        <f t="shared" ref="AK80:AK90" si="57">SUM(Y80:AJ80)</f>
        <v>947.49999999999989</v>
      </c>
      <c r="AL80" s="12">
        <v>1203</v>
      </c>
      <c r="AM80" s="12">
        <f t="shared" si="49"/>
        <v>-258.29999999999995</v>
      </c>
      <c r="AN80" s="13">
        <f t="shared" si="50"/>
        <v>0.64839526449052209</v>
      </c>
      <c r="AO80" s="12">
        <v>489.6</v>
      </c>
      <c r="AP80" s="11" t="s">
        <v>313</v>
      </c>
      <c r="AQ80" s="14"/>
    </row>
    <row r="81" spans="1:43" outlineLevel="2" x14ac:dyDescent="0.45">
      <c r="A81" s="11" t="s">
        <v>314</v>
      </c>
      <c r="B81" s="11" t="s">
        <v>315</v>
      </c>
      <c r="C81" s="11" t="s">
        <v>88</v>
      </c>
      <c r="D81" s="11" t="s">
        <v>59</v>
      </c>
      <c r="E81" s="11" t="s">
        <v>66</v>
      </c>
      <c r="F81" s="11" t="s">
        <v>172</v>
      </c>
      <c r="G81" s="11" t="s">
        <v>95</v>
      </c>
      <c r="H81" s="12">
        <v>12.7</v>
      </c>
      <c r="I81" s="12">
        <v>29.9</v>
      </c>
      <c r="J81" s="12">
        <v>30.3</v>
      </c>
      <c r="K81" s="12">
        <v>31.4</v>
      </c>
      <c r="L81" s="12">
        <v>16.7</v>
      </c>
      <c r="M81" s="12">
        <v>28.6</v>
      </c>
      <c r="N81" s="12">
        <v>8.6</v>
      </c>
      <c r="O81" s="12">
        <v>24</v>
      </c>
      <c r="P81" s="12">
        <v>9.5</v>
      </c>
      <c r="Q81" s="12">
        <v>18.600000000000001</v>
      </c>
      <c r="R81" s="12">
        <v>11.8</v>
      </c>
      <c r="S81" s="12">
        <v>15.1</v>
      </c>
      <c r="T81" s="12">
        <f t="shared" si="52"/>
        <v>72.899999999999991</v>
      </c>
      <c r="U81" s="12">
        <f t="shared" si="53"/>
        <v>76.699999999999989</v>
      </c>
      <c r="V81" s="12">
        <f t="shared" si="54"/>
        <v>42.1</v>
      </c>
      <c r="W81" s="12">
        <f t="shared" si="55"/>
        <v>45.5</v>
      </c>
      <c r="X81" s="12">
        <f t="shared" si="56"/>
        <v>237.19999999999996</v>
      </c>
      <c r="Y81" s="12">
        <v>8.3000000000000007</v>
      </c>
      <c r="Z81" s="12">
        <v>27.2</v>
      </c>
      <c r="AA81" s="12">
        <v>24.1</v>
      </c>
      <c r="AB81" s="12">
        <v>35.6</v>
      </c>
      <c r="AC81" s="12">
        <v>9.1999999999999993</v>
      </c>
      <c r="AD81" s="12">
        <v>16.7</v>
      </c>
      <c r="AE81" s="12">
        <v>8</v>
      </c>
      <c r="AF81" s="12">
        <v>15.1</v>
      </c>
      <c r="AG81" s="12">
        <v>5.9</v>
      </c>
      <c r="AH81" s="12">
        <v>0</v>
      </c>
      <c r="AI81" s="12">
        <v>0</v>
      </c>
      <c r="AJ81" s="12">
        <v>0</v>
      </c>
      <c r="AK81" s="12">
        <f t="shared" si="57"/>
        <v>150.10000000000002</v>
      </c>
      <c r="AL81" s="12">
        <v>191.4</v>
      </c>
      <c r="AM81" s="12">
        <f t="shared" si="49"/>
        <v>-45.799999999999955</v>
      </c>
      <c r="AN81" s="13">
        <f t="shared" si="50"/>
        <v>0.63279932546374384</v>
      </c>
      <c r="AO81" s="12">
        <v>202.4</v>
      </c>
      <c r="AP81" s="11" t="s">
        <v>316</v>
      </c>
      <c r="AQ81" s="14"/>
    </row>
    <row r="82" spans="1:43" outlineLevel="2" x14ac:dyDescent="0.45">
      <c r="A82" s="11" t="s">
        <v>317</v>
      </c>
      <c r="B82" s="11" t="s">
        <v>318</v>
      </c>
      <c r="C82" s="11" t="s">
        <v>94</v>
      </c>
      <c r="D82" s="11" t="s">
        <v>59</v>
      </c>
      <c r="E82" s="11" t="s">
        <v>72</v>
      </c>
      <c r="F82" s="11" t="s">
        <v>89</v>
      </c>
      <c r="G82" s="11" t="s">
        <v>95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36.299999999999997</v>
      </c>
      <c r="N82" s="12">
        <v>40</v>
      </c>
      <c r="O82" s="12">
        <v>26.5</v>
      </c>
      <c r="P82" s="12">
        <v>54.8</v>
      </c>
      <c r="Q82" s="12">
        <v>63.8</v>
      </c>
      <c r="R82" s="12">
        <v>40.4</v>
      </c>
      <c r="S82" s="12">
        <v>59.8</v>
      </c>
      <c r="T82" s="12">
        <f t="shared" si="52"/>
        <v>0</v>
      </c>
      <c r="U82" s="12">
        <f t="shared" si="53"/>
        <v>36.299999999999997</v>
      </c>
      <c r="V82" s="12">
        <f t="shared" si="54"/>
        <v>121.3</v>
      </c>
      <c r="W82" s="12">
        <f t="shared" si="55"/>
        <v>164</v>
      </c>
      <c r="X82" s="12">
        <f t="shared" si="56"/>
        <v>321.60000000000002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28.9</v>
      </c>
      <c r="AE82" s="12">
        <v>27.7</v>
      </c>
      <c r="AF82" s="12">
        <v>17.899999999999999</v>
      </c>
      <c r="AG82" s="12">
        <v>40.700000000000003</v>
      </c>
      <c r="AH82" s="12">
        <v>0</v>
      </c>
      <c r="AI82" s="12">
        <v>0</v>
      </c>
      <c r="AJ82" s="12">
        <v>0</v>
      </c>
      <c r="AK82" s="12">
        <f t="shared" si="57"/>
        <v>115.2</v>
      </c>
      <c r="AL82" s="12">
        <v>309.60000000000002</v>
      </c>
      <c r="AM82" s="12">
        <f t="shared" si="49"/>
        <v>-12</v>
      </c>
      <c r="AN82" s="13">
        <f t="shared" si="50"/>
        <v>0.35820895522388058</v>
      </c>
      <c r="AO82" s="12">
        <v>34.700000000000003</v>
      </c>
      <c r="AP82" s="11" t="s">
        <v>319</v>
      </c>
      <c r="AQ82" s="14"/>
    </row>
    <row r="83" spans="1:43" hidden="1" outlineLevel="2" x14ac:dyDescent="0.45">
      <c r="A83" s="11" t="s">
        <v>320</v>
      </c>
      <c r="B83" s="11" t="s">
        <v>321</v>
      </c>
      <c r="C83" s="11" t="s">
        <v>58</v>
      </c>
      <c r="D83" s="11" t="s">
        <v>59</v>
      </c>
      <c r="E83" s="11" t="s">
        <v>66</v>
      </c>
      <c r="F83" s="11" t="s">
        <v>224</v>
      </c>
      <c r="G83" s="11" t="s">
        <v>90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f t="shared" si="52"/>
        <v>0</v>
      </c>
      <c r="U83" s="12">
        <f t="shared" si="53"/>
        <v>0</v>
      </c>
      <c r="V83" s="12">
        <f t="shared" si="54"/>
        <v>0</v>
      </c>
      <c r="W83" s="12">
        <f t="shared" si="55"/>
        <v>0</v>
      </c>
      <c r="X83" s="12">
        <f t="shared" si="56"/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f t="shared" si="57"/>
        <v>0</v>
      </c>
      <c r="AL83" s="12">
        <v>0</v>
      </c>
      <c r="AM83" s="12">
        <f t="shared" si="49"/>
        <v>0</v>
      </c>
      <c r="AN83" s="13">
        <f t="shared" si="50"/>
        <v>0</v>
      </c>
      <c r="AO83" s="12">
        <v>64.3</v>
      </c>
      <c r="AP83" s="11" t="s">
        <v>322</v>
      </c>
      <c r="AQ83" s="14" t="s">
        <v>147</v>
      </c>
    </row>
    <row r="84" spans="1:43" outlineLevel="2" x14ac:dyDescent="0.45">
      <c r="A84" s="11" t="s">
        <v>323</v>
      </c>
      <c r="B84" s="11" t="s">
        <v>324</v>
      </c>
      <c r="C84" s="11" t="s">
        <v>71</v>
      </c>
      <c r="D84" s="11" t="s">
        <v>59</v>
      </c>
      <c r="E84" s="11" t="s">
        <v>66</v>
      </c>
      <c r="F84" s="11" t="s">
        <v>73</v>
      </c>
      <c r="G84" s="11" t="s">
        <v>62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57.6</v>
      </c>
      <c r="N84" s="12">
        <v>50.4</v>
      </c>
      <c r="O84" s="12">
        <v>37</v>
      </c>
      <c r="P84" s="12">
        <v>53.5</v>
      </c>
      <c r="Q84" s="12">
        <v>49.5</v>
      </c>
      <c r="R84" s="12">
        <v>64.7</v>
      </c>
      <c r="S84" s="12">
        <v>62.4</v>
      </c>
      <c r="T84" s="12">
        <f t="shared" si="52"/>
        <v>0</v>
      </c>
      <c r="U84" s="12">
        <f t="shared" si="53"/>
        <v>57.6</v>
      </c>
      <c r="V84" s="12">
        <f t="shared" si="54"/>
        <v>140.9</v>
      </c>
      <c r="W84" s="12">
        <f t="shared" si="55"/>
        <v>176.6</v>
      </c>
      <c r="X84" s="12">
        <f t="shared" si="56"/>
        <v>375.1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33.4</v>
      </c>
      <c r="AE84" s="12">
        <v>56</v>
      </c>
      <c r="AF84" s="12">
        <v>28</v>
      </c>
      <c r="AG84" s="12">
        <v>59.9</v>
      </c>
      <c r="AH84" s="12">
        <v>0</v>
      </c>
      <c r="AI84" s="12">
        <v>0</v>
      </c>
      <c r="AJ84" s="12">
        <v>0</v>
      </c>
      <c r="AK84" s="12">
        <f t="shared" si="57"/>
        <v>177.3</v>
      </c>
      <c r="AL84" s="12">
        <v>371</v>
      </c>
      <c r="AM84" s="12">
        <f t="shared" si="49"/>
        <v>-4.1000000000000227</v>
      </c>
      <c r="AN84" s="13">
        <f t="shared" si="50"/>
        <v>0.47267395361237002</v>
      </c>
      <c r="AO84" s="12">
        <v>165.6</v>
      </c>
      <c r="AP84" s="11" t="s">
        <v>325</v>
      </c>
      <c r="AQ84" s="14"/>
    </row>
    <row r="85" spans="1:43" outlineLevel="2" x14ac:dyDescent="0.45">
      <c r="A85" s="11" t="s">
        <v>326</v>
      </c>
      <c r="B85" s="11" t="s">
        <v>327</v>
      </c>
      <c r="C85" s="11" t="s">
        <v>71</v>
      </c>
      <c r="D85" s="11" t="s">
        <v>59</v>
      </c>
      <c r="E85" s="11" t="s">
        <v>72</v>
      </c>
      <c r="F85" s="11" t="s">
        <v>119</v>
      </c>
      <c r="G85" s="11" t="s">
        <v>62</v>
      </c>
      <c r="H85" s="12">
        <v>0</v>
      </c>
      <c r="I85" s="12">
        <v>0</v>
      </c>
      <c r="J85" s="12">
        <v>0</v>
      </c>
      <c r="K85" s="12">
        <v>0</v>
      </c>
      <c r="L85" s="12">
        <v>21.7</v>
      </c>
      <c r="M85" s="12">
        <v>52.9</v>
      </c>
      <c r="N85" s="12">
        <v>55.9</v>
      </c>
      <c r="O85" s="12">
        <v>53.8</v>
      </c>
      <c r="P85" s="12">
        <v>47.9</v>
      </c>
      <c r="Q85" s="12">
        <v>34.5</v>
      </c>
      <c r="R85" s="12">
        <v>50.5</v>
      </c>
      <c r="S85" s="12">
        <v>55.6</v>
      </c>
      <c r="T85" s="12">
        <f t="shared" si="52"/>
        <v>0</v>
      </c>
      <c r="U85" s="12">
        <f t="shared" si="53"/>
        <v>74.599999999999994</v>
      </c>
      <c r="V85" s="12">
        <f t="shared" si="54"/>
        <v>157.6</v>
      </c>
      <c r="W85" s="12">
        <f t="shared" si="55"/>
        <v>140.6</v>
      </c>
      <c r="X85" s="12">
        <f t="shared" si="56"/>
        <v>372.79999999999995</v>
      </c>
      <c r="Y85" s="12">
        <v>0</v>
      </c>
      <c r="Z85" s="12">
        <v>0</v>
      </c>
      <c r="AA85" s="12">
        <v>0</v>
      </c>
      <c r="AB85" s="12">
        <v>0</v>
      </c>
      <c r="AC85" s="12">
        <v>24.7</v>
      </c>
      <c r="AD85" s="12">
        <v>55.6</v>
      </c>
      <c r="AE85" s="12">
        <v>55.1</v>
      </c>
      <c r="AF85" s="12">
        <v>37.200000000000003</v>
      </c>
      <c r="AG85" s="12">
        <v>50.8</v>
      </c>
      <c r="AH85" s="12">
        <v>0</v>
      </c>
      <c r="AI85" s="12">
        <v>0</v>
      </c>
      <c r="AJ85" s="12">
        <v>0</v>
      </c>
      <c r="AK85" s="12">
        <f t="shared" si="57"/>
        <v>223.40000000000003</v>
      </c>
      <c r="AL85" s="12">
        <v>341.8</v>
      </c>
      <c r="AM85" s="12">
        <f t="shared" si="49"/>
        <v>-30.999999999999943</v>
      </c>
      <c r="AN85" s="13">
        <f t="shared" si="50"/>
        <v>0.59924892703862676</v>
      </c>
      <c r="AO85" s="12">
        <v>417.9</v>
      </c>
      <c r="AP85" s="11" t="s">
        <v>328</v>
      </c>
      <c r="AQ85" s="14" t="s">
        <v>305</v>
      </c>
    </row>
    <row r="86" spans="1:43" outlineLevel="2" x14ac:dyDescent="0.45">
      <c r="A86" s="11" t="s">
        <v>329</v>
      </c>
      <c r="B86" s="11" t="s">
        <v>330</v>
      </c>
      <c r="C86" s="11" t="s">
        <v>134</v>
      </c>
      <c r="D86" s="11" t="s">
        <v>59</v>
      </c>
      <c r="E86" s="11" t="s">
        <v>66</v>
      </c>
      <c r="F86" s="11" t="s">
        <v>168</v>
      </c>
      <c r="G86" s="11" t="s">
        <v>62</v>
      </c>
      <c r="H86" s="12">
        <v>0</v>
      </c>
      <c r="I86" s="12">
        <v>18.100000000000001</v>
      </c>
      <c r="J86" s="12">
        <v>16</v>
      </c>
      <c r="K86" s="12">
        <v>28.9</v>
      </c>
      <c r="L86" s="12">
        <v>25.3</v>
      </c>
      <c r="M86" s="12">
        <v>17.8</v>
      </c>
      <c r="N86" s="12">
        <v>25.2</v>
      </c>
      <c r="O86" s="12">
        <v>15.3</v>
      </c>
      <c r="P86" s="12">
        <v>13.7</v>
      </c>
      <c r="Q86" s="12">
        <v>15.9</v>
      </c>
      <c r="R86" s="12">
        <v>16</v>
      </c>
      <c r="S86" s="12">
        <v>11.4</v>
      </c>
      <c r="T86" s="12">
        <f t="shared" si="52"/>
        <v>34.1</v>
      </c>
      <c r="U86" s="12">
        <f t="shared" si="53"/>
        <v>72</v>
      </c>
      <c r="V86" s="12">
        <f t="shared" si="54"/>
        <v>54.2</v>
      </c>
      <c r="W86" s="12">
        <f t="shared" si="55"/>
        <v>43.3</v>
      </c>
      <c r="X86" s="12">
        <f t="shared" si="56"/>
        <v>203.60000000000002</v>
      </c>
      <c r="Y86" s="12">
        <v>0</v>
      </c>
      <c r="Z86" s="12">
        <v>19.8</v>
      </c>
      <c r="AA86" s="12">
        <v>15</v>
      </c>
      <c r="AB86" s="12">
        <v>22.8</v>
      </c>
      <c r="AC86" s="12">
        <v>18.3</v>
      </c>
      <c r="AD86" s="12">
        <v>14</v>
      </c>
      <c r="AE86" s="12">
        <v>28.1</v>
      </c>
      <c r="AF86" s="12">
        <v>9.1</v>
      </c>
      <c r="AG86" s="12">
        <v>10.199999999999999</v>
      </c>
      <c r="AH86" s="12">
        <v>0</v>
      </c>
      <c r="AI86" s="12">
        <v>0</v>
      </c>
      <c r="AJ86" s="12">
        <v>0</v>
      </c>
      <c r="AK86" s="12">
        <f t="shared" si="57"/>
        <v>137.29999999999998</v>
      </c>
      <c r="AL86" s="12">
        <v>176.6</v>
      </c>
      <c r="AM86" s="12">
        <f t="shared" si="49"/>
        <v>-27.000000000000028</v>
      </c>
      <c r="AN86" s="13">
        <f t="shared" si="50"/>
        <v>0.67436149312377192</v>
      </c>
      <c r="AO86" s="12">
        <v>3.1</v>
      </c>
      <c r="AP86" s="11" t="s">
        <v>331</v>
      </c>
      <c r="AQ86" s="14"/>
    </row>
    <row r="87" spans="1:43" hidden="1" outlineLevel="2" x14ac:dyDescent="0.45">
      <c r="A87" s="11" t="s">
        <v>332</v>
      </c>
      <c r="B87" s="11" t="s">
        <v>333</v>
      </c>
      <c r="C87" s="11" t="s">
        <v>94</v>
      </c>
      <c r="D87" s="11" t="s">
        <v>59</v>
      </c>
      <c r="E87" s="11" t="s">
        <v>66</v>
      </c>
      <c r="F87" s="11" t="s">
        <v>224</v>
      </c>
      <c r="G87" s="11" t="s">
        <v>90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f t="shared" si="52"/>
        <v>0</v>
      </c>
      <c r="U87" s="12">
        <f t="shared" si="53"/>
        <v>0</v>
      </c>
      <c r="V87" s="12">
        <f t="shared" si="54"/>
        <v>0</v>
      </c>
      <c r="W87" s="12">
        <f t="shared" si="55"/>
        <v>0</v>
      </c>
      <c r="X87" s="12">
        <f t="shared" si="56"/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f t="shared" si="57"/>
        <v>0</v>
      </c>
      <c r="AL87" s="12">
        <v>0</v>
      </c>
      <c r="AM87" s="12">
        <f t="shared" si="49"/>
        <v>0</v>
      </c>
      <c r="AN87" s="13">
        <f t="shared" si="50"/>
        <v>0</v>
      </c>
      <c r="AO87" s="12">
        <v>207.7</v>
      </c>
      <c r="AP87" s="11" t="s">
        <v>334</v>
      </c>
      <c r="AQ87" s="14" t="s">
        <v>147</v>
      </c>
    </row>
    <row r="88" spans="1:43" outlineLevel="2" x14ac:dyDescent="0.45">
      <c r="A88" s="11" t="s">
        <v>335</v>
      </c>
      <c r="B88" s="11" t="s">
        <v>336</v>
      </c>
      <c r="C88" s="11" t="s">
        <v>94</v>
      </c>
      <c r="D88" s="11" t="s">
        <v>59</v>
      </c>
      <c r="E88" s="11" t="s">
        <v>66</v>
      </c>
      <c r="F88" s="11" t="s">
        <v>246</v>
      </c>
      <c r="G88" s="11" t="s">
        <v>84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f t="shared" si="52"/>
        <v>0</v>
      </c>
      <c r="U88" s="12">
        <f t="shared" si="53"/>
        <v>0</v>
      </c>
      <c r="V88" s="12">
        <f t="shared" si="54"/>
        <v>0</v>
      </c>
      <c r="W88" s="12">
        <f t="shared" si="55"/>
        <v>0</v>
      </c>
      <c r="X88" s="12">
        <f t="shared" si="56"/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f t="shared" si="57"/>
        <v>0</v>
      </c>
      <c r="AL88" s="12">
        <v>0</v>
      </c>
      <c r="AM88" s="12">
        <f t="shared" si="49"/>
        <v>0</v>
      </c>
      <c r="AN88" s="13">
        <f t="shared" si="50"/>
        <v>0</v>
      </c>
      <c r="AO88" s="12">
        <v>0</v>
      </c>
      <c r="AP88" s="11" t="s">
        <v>337</v>
      </c>
      <c r="AQ88" s="14"/>
    </row>
    <row r="89" spans="1:43" hidden="1" outlineLevel="2" x14ac:dyDescent="0.45">
      <c r="A89" s="11" t="s">
        <v>338</v>
      </c>
      <c r="B89" s="11" t="s">
        <v>339</v>
      </c>
      <c r="C89" s="11" t="s">
        <v>71</v>
      </c>
      <c r="D89" s="11" t="s">
        <v>59</v>
      </c>
      <c r="E89" s="11" t="s">
        <v>60</v>
      </c>
      <c r="F89" s="11" t="s">
        <v>340</v>
      </c>
      <c r="G89" s="11" t="s">
        <v>62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f t="shared" si="52"/>
        <v>0</v>
      </c>
      <c r="U89" s="12">
        <f t="shared" si="53"/>
        <v>0</v>
      </c>
      <c r="V89" s="12">
        <f t="shared" si="54"/>
        <v>0</v>
      </c>
      <c r="W89" s="12">
        <f t="shared" si="55"/>
        <v>0</v>
      </c>
      <c r="X89" s="12">
        <f t="shared" si="56"/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f t="shared" si="57"/>
        <v>0</v>
      </c>
      <c r="AL89" s="12">
        <v>0</v>
      </c>
      <c r="AM89" s="12">
        <f t="shared" si="49"/>
        <v>0</v>
      </c>
      <c r="AN89" s="13">
        <f t="shared" si="50"/>
        <v>0</v>
      </c>
      <c r="AO89" s="12">
        <v>105.8</v>
      </c>
      <c r="AP89" s="11" t="s">
        <v>341</v>
      </c>
      <c r="AQ89" s="14" t="s">
        <v>147</v>
      </c>
    </row>
    <row r="90" spans="1:43" outlineLevel="2" x14ac:dyDescent="0.45">
      <c r="A90" s="11" t="s">
        <v>342</v>
      </c>
      <c r="B90" s="11" t="s">
        <v>343</v>
      </c>
      <c r="C90" s="11" t="s">
        <v>134</v>
      </c>
      <c r="D90" s="11" t="s">
        <v>59</v>
      </c>
      <c r="E90" s="11" t="s">
        <v>72</v>
      </c>
      <c r="F90" s="11" t="s">
        <v>127</v>
      </c>
      <c r="G90" s="11" t="s">
        <v>95</v>
      </c>
      <c r="H90" s="12">
        <v>0</v>
      </c>
      <c r="I90" s="12">
        <v>0</v>
      </c>
      <c r="J90" s="12">
        <v>67.5</v>
      </c>
      <c r="K90" s="12">
        <v>41.4</v>
      </c>
      <c r="L90" s="12">
        <v>125.6</v>
      </c>
      <c r="M90" s="12">
        <v>142.9</v>
      </c>
      <c r="N90" s="12">
        <v>49.3</v>
      </c>
      <c r="O90" s="12">
        <v>84.4</v>
      </c>
      <c r="P90" s="12">
        <v>56.7</v>
      </c>
      <c r="Q90" s="12">
        <v>135.5</v>
      </c>
      <c r="R90" s="12">
        <v>51</v>
      </c>
      <c r="S90" s="12">
        <v>48.9</v>
      </c>
      <c r="T90" s="12">
        <f t="shared" si="52"/>
        <v>67.5</v>
      </c>
      <c r="U90" s="12">
        <f t="shared" si="53"/>
        <v>309.89999999999998</v>
      </c>
      <c r="V90" s="12">
        <f t="shared" si="54"/>
        <v>190.39999999999998</v>
      </c>
      <c r="W90" s="12">
        <f t="shared" si="55"/>
        <v>235.4</v>
      </c>
      <c r="X90" s="12">
        <f t="shared" si="56"/>
        <v>803.19999999999993</v>
      </c>
      <c r="Y90" s="12">
        <v>0</v>
      </c>
      <c r="Z90" s="12">
        <v>0</v>
      </c>
      <c r="AA90" s="12">
        <v>55.2</v>
      </c>
      <c r="AB90" s="12">
        <v>29.5</v>
      </c>
      <c r="AC90" s="12">
        <v>135.69999999999999</v>
      </c>
      <c r="AD90" s="12">
        <v>122.4</v>
      </c>
      <c r="AE90" s="12">
        <v>29.7</v>
      </c>
      <c r="AF90" s="12">
        <v>92.5</v>
      </c>
      <c r="AG90" s="12">
        <v>52.9</v>
      </c>
      <c r="AH90" s="12">
        <v>0</v>
      </c>
      <c r="AI90" s="12">
        <v>0</v>
      </c>
      <c r="AJ90" s="12">
        <v>0</v>
      </c>
      <c r="AK90" s="12">
        <f t="shared" si="57"/>
        <v>517.9</v>
      </c>
      <c r="AL90" s="12">
        <v>791.9</v>
      </c>
      <c r="AM90" s="12">
        <f t="shared" si="49"/>
        <v>-11.299999999999955</v>
      </c>
      <c r="AN90" s="13">
        <f t="shared" si="50"/>
        <v>0.64479581673306774</v>
      </c>
      <c r="AO90" s="12">
        <v>895.3</v>
      </c>
      <c r="AP90" s="11" t="s">
        <v>344</v>
      </c>
      <c r="AQ90" s="14"/>
    </row>
    <row r="91" spans="1:43" outlineLevel="1" x14ac:dyDescent="0.45">
      <c r="A91" s="7" t="s">
        <v>345</v>
      </c>
      <c r="B91" s="7" t="s">
        <v>346</v>
      </c>
      <c r="C91" s="7"/>
      <c r="D91" s="7"/>
      <c r="E91" s="7"/>
      <c r="F91" s="7"/>
      <c r="G91" s="7"/>
      <c r="H91" s="8">
        <f t="shared" ref="H91:AL91" si="58">SUBTOTAL(9,H92:H101)</f>
        <v>37.4</v>
      </c>
      <c r="I91" s="8">
        <f t="shared" si="58"/>
        <v>43.3</v>
      </c>
      <c r="J91" s="8">
        <f t="shared" si="58"/>
        <v>43.7</v>
      </c>
      <c r="K91" s="8">
        <f t="shared" si="58"/>
        <v>122.2</v>
      </c>
      <c r="L91" s="8">
        <f t="shared" si="58"/>
        <v>243</v>
      </c>
      <c r="M91" s="8">
        <f t="shared" si="58"/>
        <v>384.40000000000003</v>
      </c>
      <c r="N91" s="8">
        <f t="shared" si="58"/>
        <v>435.4</v>
      </c>
      <c r="O91" s="8">
        <f t="shared" si="58"/>
        <v>397</v>
      </c>
      <c r="P91" s="8">
        <f t="shared" si="58"/>
        <v>446.9</v>
      </c>
      <c r="Q91" s="8">
        <f t="shared" si="58"/>
        <v>453.1</v>
      </c>
      <c r="R91" s="8">
        <f t="shared" si="58"/>
        <v>361.20000000000005</v>
      </c>
      <c r="S91" s="8">
        <f t="shared" si="58"/>
        <v>317</v>
      </c>
      <c r="T91" s="8">
        <f t="shared" si="58"/>
        <v>124.39999999999999</v>
      </c>
      <c r="U91" s="8">
        <f t="shared" si="58"/>
        <v>749.59999999999991</v>
      </c>
      <c r="V91" s="8">
        <f t="shared" si="58"/>
        <v>1279.3</v>
      </c>
      <c r="W91" s="8">
        <f t="shared" si="58"/>
        <v>1131.3</v>
      </c>
      <c r="X91" s="8">
        <f t="shared" si="58"/>
        <v>3284.6000000000004</v>
      </c>
      <c r="Y91" s="8">
        <f t="shared" si="58"/>
        <v>29.3</v>
      </c>
      <c r="Z91" s="8">
        <f t="shared" si="58"/>
        <v>37.5</v>
      </c>
      <c r="AA91" s="8">
        <f t="shared" si="58"/>
        <v>46.4</v>
      </c>
      <c r="AB91" s="8">
        <f t="shared" si="58"/>
        <v>105.5</v>
      </c>
      <c r="AC91" s="8">
        <f t="shared" si="58"/>
        <v>240.49999999999997</v>
      </c>
      <c r="AD91" s="8">
        <f t="shared" si="58"/>
        <v>314</v>
      </c>
      <c r="AE91" s="8">
        <f t="shared" si="58"/>
        <v>373.09999999999997</v>
      </c>
      <c r="AF91" s="8">
        <f t="shared" si="58"/>
        <v>328.3</v>
      </c>
      <c r="AG91" s="8">
        <f t="shared" si="58"/>
        <v>408.5</v>
      </c>
      <c r="AH91" s="8">
        <f t="shared" si="58"/>
        <v>31.8</v>
      </c>
      <c r="AI91" s="8">
        <f t="shared" si="58"/>
        <v>25.3</v>
      </c>
      <c r="AJ91" s="8">
        <f t="shared" si="58"/>
        <v>14.1</v>
      </c>
      <c r="AK91" s="8">
        <f t="shared" si="58"/>
        <v>1954.3000000000002</v>
      </c>
      <c r="AL91" s="8">
        <f t="shared" si="58"/>
        <v>3146.2</v>
      </c>
      <c r="AM91" s="8">
        <f t="shared" si="49"/>
        <v>-138.40000000000055</v>
      </c>
      <c r="AN91" s="9">
        <f t="shared" si="50"/>
        <v>0.59498873531023566</v>
      </c>
      <c r="AO91" s="8">
        <f>SUBTOTAL(9,AO92:AO101)</f>
        <v>2485.1999999999998</v>
      </c>
      <c r="AP91" s="7"/>
      <c r="AQ91" s="10"/>
    </row>
    <row r="92" spans="1:43" outlineLevel="2" x14ac:dyDescent="0.45">
      <c r="A92" s="11" t="s">
        <v>347</v>
      </c>
      <c r="B92" s="11" t="s">
        <v>348</v>
      </c>
      <c r="C92" s="11" t="s">
        <v>58</v>
      </c>
      <c r="D92" s="11" t="s">
        <v>59</v>
      </c>
      <c r="E92" s="11" t="s">
        <v>66</v>
      </c>
      <c r="F92" s="11" t="s">
        <v>78</v>
      </c>
      <c r="G92" s="11" t="s">
        <v>90</v>
      </c>
      <c r="H92" s="12">
        <v>0</v>
      </c>
      <c r="I92" s="12">
        <v>0</v>
      </c>
      <c r="J92" s="12">
        <v>0</v>
      </c>
      <c r="K92" s="12">
        <v>36.200000000000003</v>
      </c>
      <c r="L92" s="12">
        <v>42.7</v>
      </c>
      <c r="M92" s="12">
        <v>54.5</v>
      </c>
      <c r="N92" s="12">
        <v>39.5</v>
      </c>
      <c r="O92" s="12">
        <v>37.4</v>
      </c>
      <c r="P92" s="12">
        <v>32.5</v>
      </c>
      <c r="Q92" s="12">
        <v>22.8</v>
      </c>
      <c r="R92" s="12">
        <v>40.9</v>
      </c>
      <c r="S92" s="12">
        <v>58.1</v>
      </c>
      <c r="T92" s="12">
        <f t="shared" ref="T92:T101" si="59">SUM(H92:J92)</f>
        <v>0</v>
      </c>
      <c r="U92" s="12">
        <f t="shared" ref="U92:U101" si="60">SUM(K92:M92)</f>
        <v>133.4</v>
      </c>
      <c r="V92" s="12">
        <f t="shared" ref="V92:V101" si="61">SUM(N92:P92)</f>
        <v>109.4</v>
      </c>
      <c r="W92" s="12">
        <f t="shared" ref="W92:W101" si="62">SUM(Q92:S92)</f>
        <v>121.80000000000001</v>
      </c>
      <c r="X92" s="12">
        <f t="shared" ref="X92:X101" si="63">SUM(T92:W92)</f>
        <v>364.6</v>
      </c>
      <c r="Y92" s="12">
        <v>0</v>
      </c>
      <c r="Z92" s="12">
        <v>0</v>
      </c>
      <c r="AA92" s="12">
        <v>0</v>
      </c>
      <c r="AB92" s="12">
        <v>37.799999999999997</v>
      </c>
      <c r="AC92" s="12">
        <v>29.1</v>
      </c>
      <c r="AD92" s="12">
        <v>35.9</v>
      </c>
      <c r="AE92" s="12">
        <v>40.200000000000003</v>
      </c>
      <c r="AF92" s="12">
        <v>30.2</v>
      </c>
      <c r="AG92" s="12">
        <v>32.799999999999997</v>
      </c>
      <c r="AH92" s="12">
        <v>0</v>
      </c>
      <c r="AI92" s="12">
        <v>0</v>
      </c>
      <c r="AJ92" s="12">
        <v>0</v>
      </c>
      <c r="AK92" s="12">
        <f t="shared" ref="AK92:AK101" si="64">SUM(Y92:AJ92)</f>
        <v>206</v>
      </c>
      <c r="AL92" s="12">
        <v>338.4</v>
      </c>
      <c r="AM92" s="12">
        <f t="shared" si="49"/>
        <v>-26.200000000000045</v>
      </c>
      <c r="AN92" s="13">
        <f t="shared" si="50"/>
        <v>0.56500274273176077</v>
      </c>
      <c r="AO92" s="12">
        <v>88.5</v>
      </c>
      <c r="AP92" s="11" t="s">
        <v>349</v>
      </c>
      <c r="AQ92" s="14"/>
    </row>
    <row r="93" spans="1:43" hidden="1" outlineLevel="2" x14ac:dyDescent="0.45">
      <c r="A93" s="11" t="s">
        <v>350</v>
      </c>
      <c r="B93" s="11" t="s">
        <v>351</v>
      </c>
      <c r="C93" s="11" t="s">
        <v>71</v>
      </c>
      <c r="D93" s="11" t="s">
        <v>59</v>
      </c>
      <c r="E93" s="11" t="s">
        <v>72</v>
      </c>
      <c r="F93" s="11" t="s">
        <v>105</v>
      </c>
      <c r="G93" s="11" t="s">
        <v>90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f t="shared" si="59"/>
        <v>0</v>
      </c>
      <c r="U93" s="12">
        <f t="shared" si="60"/>
        <v>0</v>
      </c>
      <c r="V93" s="12">
        <f t="shared" si="61"/>
        <v>0</v>
      </c>
      <c r="W93" s="12">
        <f t="shared" si="62"/>
        <v>0</v>
      </c>
      <c r="X93" s="12">
        <f t="shared" si="63"/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f t="shared" si="64"/>
        <v>0</v>
      </c>
      <c r="AL93" s="12">
        <v>0</v>
      </c>
      <c r="AM93" s="12">
        <f t="shared" si="49"/>
        <v>0</v>
      </c>
      <c r="AN93" s="13">
        <f t="shared" si="50"/>
        <v>0</v>
      </c>
      <c r="AO93" s="12">
        <v>276.39999999999998</v>
      </c>
      <c r="AP93" s="11" t="s">
        <v>352</v>
      </c>
      <c r="AQ93" s="14" t="s">
        <v>147</v>
      </c>
    </row>
    <row r="94" spans="1:43" outlineLevel="2" x14ac:dyDescent="0.45">
      <c r="A94" s="11" t="s">
        <v>353</v>
      </c>
      <c r="B94" s="11" t="s">
        <v>354</v>
      </c>
      <c r="C94" s="11" t="s">
        <v>134</v>
      </c>
      <c r="D94" s="11" t="s">
        <v>59</v>
      </c>
      <c r="E94" s="11" t="s">
        <v>60</v>
      </c>
      <c r="F94" s="11" t="s">
        <v>105</v>
      </c>
      <c r="G94" s="11" t="s">
        <v>62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157</v>
      </c>
      <c r="N94" s="12">
        <v>236.3</v>
      </c>
      <c r="O94" s="12">
        <v>138.1</v>
      </c>
      <c r="P94" s="12">
        <v>129.6</v>
      </c>
      <c r="Q94" s="12">
        <v>222.7</v>
      </c>
      <c r="R94" s="12">
        <v>75.900000000000006</v>
      </c>
      <c r="S94" s="12">
        <v>96.3</v>
      </c>
      <c r="T94" s="12">
        <f t="shared" si="59"/>
        <v>0</v>
      </c>
      <c r="U94" s="12">
        <f t="shared" si="60"/>
        <v>157</v>
      </c>
      <c r="V94" s="12">
        <f t="shared" si="61"/>
        <v>504</v>
      </c>
      <c r="W94" s="12">
        <f t="shared" si="62"/>
        <v>394.90000000000003</v>
      </c>
      <c r="X94" s="12">
        <f t="shared" si="63"/>
        <v>1055.9000000000001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120.4</v>
      </c>
      <c r="AE94" s="12">
        <v>181</v>
      </c>
      <c r="AF94" s="12">
        <v>118.9</v>
      </c>
      <c r="AG94" s="12">
        <v>91.3</v>
      </c>
      <c r="AH94" s="12">
        <v>0</v>
      </c>
      <c r="AI94" s="12">
        <v>0</v>
      </c>
      <c r="AJ94" s="12">
        <v>0</v>
      </c>
      <c r="AK94" s="12">
        <f t="shared" si="64"/>
        <v>511.59999999999997</v>
      </c>
      <c r="AL94" s="12">
        <v>966.8</v>
      </c>
      <c r="AM94" s="12">
        <f t="shared" si="49"/>
        <v>-89.100000000000136</v>
      </c>
      <c r="AN94" s="13">
        <f t="shared" si="50"/>
        <v>0.4845155791268112</v>
      </c>
      <c r="AO94" s="12">
        <v>917.8</v>
      </c>
      <c r="AP94" s="11" t="s">
        <v>355</v>
      </c>
      <c r="AQ94" s="14"/>
    </row>
    <row r="95" spans="1:43" outlineLevel="2" x14ac:dyDescent="0.45">
      <c r="A95" s="11" t="s">
        <v>356</v>
      </c>
      <c r="B95" s="11" t="s">
        <v>357</v>
      </c>
      <c r="C95" s="11" t="s">
        <v>58</v>
      </c>
      <c r="D95" s="11" t="s">
        <v>59</v>
      </c>
      <c r="E95" s="11" t="s">
        <v>72</v>
      </c>
      <c r="F95" s="11" t="s">
        <v>138</v>
      </c>
      <c r="G95" s="11" t="s">
        <v>90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f t="shared" si="59"/>
        <v>0</v>
      </c>
      <c r="U95" s="12">
        <f t="shared" si="60"/>
        <v>0</v>
      </c>
      <c r="V95" s="12">
        <f t="shared" si="61"/>
        <v>0</v>
      </c>
      <c r="W95" s="12">
        <f t="shared" si="62"/>
        <v>0</v>
      </c>
      <c r="X95" s="12">
        <f t="shared" si="63"/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f t="shared" si="64"/>
        <v>0</v>
      </c>
      <c r="AL95" s="12">
        <v>0</v>
      </c>
      <c r="AM95" s="12">
        <f t="shared" si="49"/>
        <v>0</v>
      </c>
      <c r="AN95" s="13">
        <f t="shared" si="50"/>
        <v>0</v>
      </c>
      <c r="AO95" s="12">
        <v>0</v>
      </c>
      <c r="AP95" s="11" t="s">
        <v>358</v>
      </c>
      <c r="AQ95" s="14"/>
    </row>
    <row r="96" spans="1:43" outlineLevel="2" x14ac:dyDescent="0.45">
      <c r="A96" s="11" t="s">
        <v>359</v>
      </c>
      <c r="B96" s="11" t="s">
        <v>360</v>
      </c>
      <c r="C96" s="11" t="s">
        <v>94</v>
      </c>
      <c r="D96" s="11" t="s">
        <v>59</v>
      </c>
      <c r="E96" s="11" t="s">
        <v>66</v>
      </c>
      <c r="F96" s="11" t="s">
        <v>138</v>
      </c>
      <c r="G96" s="11" t="s">
        <v>84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f t="shared" si="59"/>
        <v>0</v>
      </c>
      <c r="U96" s="12">
        <f t="shared" si="60"/>
        <v>0</v>
      </c>
      <c r="V96" s="12">
        <f t="shared" si="61"/>
        <v>0</v>
      </c>
      <c r="W96" s="12">
        <f t="shared" si="62"/>
        <v>0</v>
      </c>
      <c r="X96" s="12">
        <f t="shared" si="63"/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31.8</v>
      </c>
      <c r="AI96" s="12">
        <v>25.3</v>
      </c>
      <c r="AJ96" s="12">
        <v>14.1</v>
      </c>
      <c r="AK96" s="12">
        <f t="shared" si="64"/>
        <v>71.2</v>
      </c>
      <c r="AL96" s="12">
        <v>82.8</v>
      </c>
      <c r="AM96" s="12">
        <f t="shared" si="49"/>
        <v>82.8</v>
      </c>
      <c r="AN96" s="13">
        <f t="shared" si="50"/>
        <v>0</v>
      </c>
      <c r="AO96" s="12">
        <v>0</v>
      </c>
      <c r="AP96" s="11" t="s">
        <v>361</v>
      </c>
      <c r="AQ96" s="14"/>
    </row>
    <row r="97" spans="1:43" outlineLevel="2" x14ac:dyDescent="0.45">
      <c r="A97" s="11" t="s">
        <v>362</v>
      </c>
      <c r="B97" s="11" t="s">
        <v>363</v>
      </c>
      <c r="C97" s="11" t="s">
        <v>71</v>
      </c>
      <c r="D97" s="11" t="s">
        <v>59</v>
      </c>
      <c r="E97" s="11" t="s">
        <v>66</v>
      </c>
      <c r="F97" s="11" t="s">
        <v>214</v>
      </c>
      <c r="G97" s="11" t="s">
        <v>84</v>
      </c>
      <c r="H97" s="12">
        <v>0</v>
      </c>
      <c r="I97" s="12">
        <v>0</v>
      </c>
      <c r="J97" s="12">
        <v>0</v>
      </c>
      <c r="K97" s="12">
        <v>20.5</v>
      </c>
      <c r="L97" s="12">
        <v>21.4</v>
      </c>
      <c r="M97" s="12">
        <v>13</v>
      </c>
      <c r="N97" s="12">
        <v>18.899999999999999</v>
      </c>
      <c r="O97" s="12">
        <v>28.1</v>
      </c>
      <c r="P97" s="12">
        <v>31.9</v>
      </c>
      <c r="Q97" s="12">
        <v>20.399999999999999</v>
      </c>
      <c r="R97" s="12">
        <v>13.1</v>
      </c>
      <c r="S97" s="12">
        <v>11.4</v>
      </c>
      <c r="T97" s="12">
        <f t="shared" si="59"/>
        <v>0</v>
      </c>
      <c r="U97" s="12">
        <f t="shared" si="60"/>
        <v>54.9</v>
      </c>
      <c r="V97" s="12">
        <f t="shared" si="61"/>
        <v>78.900000000000006</v>
      </c>
      <c r="W97" s="12">
        <f t="shared" si="62"/>
        <v>44.9</v>
      </c>
      <c r="X97" s="12">
        <f t="shared" si="63"/>
        <v>178.70000000000002</v>
      </c>
      <c r="Y97" s="12">
        <v>0</v>
      </c>
      <c r="Z97" s="12">
        <v>0</v>
      </c>
      <c r="AA97" s="12">
        <v>0</v>
      </c>
      <c r="AB97" s="12">
        <v>15</v>
      </c>
      <c r="AC97" s="12">
        <v>22.7</v>
      </c>
      <c r="AD97" s="12">
        <v>13.8</v>
      </c>
      <c r="AE97" s="12">
        <v>10.7</v>
      </c>
      <c r="AF97" s="12">
        <v>21.5</v>
      </c>
      <c r="AG97" s="12">
        <v>32.700000000000003</v>
      </c>
      <c r="AH97" s="12">
        <v>0</v>
      </c>
      <c r="AI97" s="12">
        <v>0</v>
      </c>
      <c r="AJ97" s="12">
        <v>0</v>
      </c>
      <c r="AK97" s="12">
        <f t="shared" si="64"/>
        <v>116.4</v>
      </c>
      <c r="AL97" s="12">
        <v>163.9</v>
      </c>
      <c r="AM97" s="12">
        <f t="shared" si="49"/>
        <v>-14.800000000000011</v>
      </c>
      <c r="AN97" s="13">
        <f t="shared" si="50"/>
        <v>0.65137101287073307</v>
      </c>
      <c r="AO97" s="12">
        <v>11.6</v>
      </c>
      <c r="AP97" s="11" t="s">
        <v>364</v>
      </c>
      <c r="AQ97" s="14" t="s">
        <v>211</v>
      </c>
    </row>
    <row r="98" spans="1:43" outlineLevel="2" x14ac:dyDescent="0.45">
      <c r="A98" s="11" t="s">
        <v>365</v>
      </c>
      <c r="B98" s="11" t="s">
        <v>366</v>
      </c>
      <c r="C98" s="11" t="s">
        <v>94</v>
      </c>
      <c r="D98" s="11" t="s">
        <v>59</v>
      </c>
      <c r="E98" s="11" t="s">
        <v>60</v>
      </c>
      <c r="F98" s="11" t="s">
        <v>285</v>
      </c>
      <c r="G98" s="11" t="s">
        <v>90</v>
      </c>
      <c r="H98" s="12">
        <v>0</v>
      </c>
      <c r="I98" s="12">
        <v>0</v>
      </c>
      <c r="J98" s="12">
        <v>0</v>
      </c>
      <c r="K98" s="12">
        <v>0</v>
      </c>
      <c r="L98" s="12">
        <v>146.5</v>
      </c>
      <c r="M98" s="12">
        <v>89.1</v>
      </c>
      <c r="N98" s="12">
        <v>96.2</v>
      </c>
      <c r="O98" s="12">
        <v>155.30000000000001</v>
      </c>
      <c r="P98" s="12">
        <v>220.5</v>
      </c>
      <c r="Q98" s="12">
        <v>145.1</v>
      </c>
      <c r="R98" s="12">
        <v>176.8</v>
      </c>
      <c r="S98" s="12">
        <v>110.6</v>
      </c>
      <c r="T98" s="12">
        <f t="shared" si="59"/>
        <v>0</v>
      </c>
      <c r="U98" s="12">
        <f t="shared" si="60"/>
        <v>235.6</v>
      </c>
      <c r="V98" s="12">
        <f t="shared" si="61"/>
        <v>472</v>
      </c>
      <c r="W98" s="12">
        <f t="shared" si="62"/>
        <v>432.5</v>
      </c>
      <c r="X98" s="12">
        <f t="shared" si="63"/>
        <v>1140.0999999999999</v>
      </c>
      <c r="Y98" s="12">
        <v>0</v>
      </c>
      <c r="Z98" s="12">
        <v>0</v>
      </c>
      <c r="AA98" s="12">
        <v>0</v>
      </c>
      <c r="AB98" s="12">
        <v>0</v>
      </c>
      <c r="AC98" s="12">
        <v>157.6</v>
      </c>
      <c r="AD98" s="12">
        <v>69.400000000000006</v>
      </c>
      <c r="AE98" s="12">
        <v>101.7</v>
      </c>
      <c r="AF98" s="12">
        <v>122.4</v>
      </c>
      <c r="AG98" s="12">
        <v>223.1</v>
      </c>
      <c r="AH98" s="12">
        <v>0</v>
      </c>
      <c r="AI98" s="12">
        <v>0</v>
      </c>
      <c r="AJ98" s="12">
        <v>0</v>
      </c>
      <c r="AK98" s="12">
        <f t="shared" si="64"/>
        <v>674.2</v>
      </c>
      <c r="AL98" s="12">
        <v>1106.2</v>
      </c>
      <c r="AM98" s="12">
        <f t="shared" si="49"/>
        <v>-33.899999999999864</v>
      </c>
      <c r="AN98" s="13">
        <f t="shared" si="50"/>
        <v>0.59135163582141925</v>
      </c>
      <c r="AO98" s="12">
        <v>1095.9000000000001</v>
      </c>
      <c r="AP98" s="11" t="s">
        <v>367</v>
      </c>
      <c r="AQ98" s="14"/>
    </row>
    <row r="99" spans="1:43" outlineLevel="2" x14ac:dyDescent="0.45">
      <c r="A99" s="11" t="s">
        <v>368</v>
      </c>
      <c r="B99" s="11" t="s">
        <v>369</v>
      </c>
      <c r="C99" s="11" t="s">
        <v>71</v>
      </c>
      <c r="D99" s="11" t="s">
        <v>59</v>
      </c>
      <c r="E99" s="11" t="s">
        <v>60</v>
      </c>
      <c r="F99" s="11" t="s">
        <v>127</v>
      </c>
      <c r="G99" s="11" t="s">
        <v>95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f t="shared" si="59"/>
        <v>0</v>
      </c>
      <c r="U99" s="12">
        <f t="shared" si="60"/>
        <v>0</v>
      </c>
      <c r="V99" s="12">
        <f t="shared" si="61"/>
        <v>0</v>
      </c>
      <c r="W99" s="12">
        <f t="shared" si="62"/>
        <v>0</v>
      </c>
      <c r="X99" s="12">
        <f t="shared" si="63"/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f t="shared" si="64"/>
        <v>0</v>
      </c>
      <c r="AL99" s="12">
        <v>0</v>
      </c>
      <c r="AM99" s="12">
        <f t="shared" si="49"/>
        <v>0</v>
      </c>
      <c r="AN99" s="13">
        <f t="shared" si="50"/>
        <v>0</v>
      </c>
      <c r="AO99" s="12">
        <v>0</v>
      </c>
      <c r="AP99" s="11" t="s">
        <v>370</v>
      </c>
      <c r="AQ99" s="14"/>
    </row>
    <row r="100" spans="1:43" outlineLevel="2" x14ac:dyDescent="0.45">
      <c r="A100" s="11" t="s">
        <v>371</v>
      </c>
      <c r="B100" s="11" t="s">
        <v>372</v>
      </c>
      <c r="C100" s="11" t="s">
        <v>134</v>
      </c>
      <c r="D100" s="11" t="s">
        <v>59</v>
      </c>
      <c r="E100" s="11" t="s">
        <v>72</v>
      </c>
      <c r="F100" s="11" t="s">
        <v>142</v>
      </c>
      <c r="G100" s="11" t="s">
        <v>95</v>
      </c>
      <c r="H100" s="12">
        <v>37.4</v>
      </c>
      <c r="I100" s="12">
        <v>43.3</v>
      </c>
      <c r="J100" s="12">
        <v>43.7</v>
      </c>
      <c r="K100" s="12">
        <v>65.5</v>
      </c>
      <c r="L100" s="12">
        <v>32.4</v>
      </c>
      <c r="M100" s="12">
        <v>70.8</v>
      </c>
      <c r="N100" s="12">
        <v>44.5</v>
      </c>
      <c r="O100" s="12">
        <v>38.1</v>
      </c>
      <c r="P100" s="12">
        <v>32.4</v>
      </c>
      <c r="Q100" s="12">
        <v>42.1</v>
      </c>
      <c r="R100" s="12">
        <v>54.5</v>
      </c>
      <c r="S100" s="12">
        <v>40.6</v>
      </c>
      <c r="T100" s="12">
        <f t="shared" si="59"/>
        <v>124.39999999999999</v>
      </c>
      <c r="U100" s="12">
        <f t="shared" si="60"/>
        <v>168.7</v>
      </c>
      <c r="V100" s="12">
        <f t="shared" si="61"/>
        <v>115</v>
      </c>
      <c r="W100" s="12">
        <f t="shared" si="62"/>
        <v>137.19999999999999</v>
      </c>
      <c r="X100" s="12">
        <f t="shared" si="63"/>
        <v>545.29999999999995</v>
      </c>
      <c r="Y100" s="12">
        <v>29.3</v>
      </c>
      <c r="Z100" s="12">
        <v>37.5</v>
      </c>
      <c r="AA100" s="12">
        <v>46.4</v>
      </c>
      <c r="AB100" s="12">
        <v>52.7</v>
      </c>
      <c r="AC100" s="12">
        <v>31.1</v>
      </c>
      <c r="AD100" s="12">
        <v>74.5</v>
      </c>
      <c r="AE100" s="12">
        <v>39.5</v>
      </c>
      <c r="AF100" s="12">
        <v>35.299999999999997</v>
      </c>
      <c r="AG100" s="12">
        <v>28.6</v>
      </c>
      <c r="AH100" s="12">
        <v>0</v>
      </c>
      <c r="AI100" s="12">
        <v>0</v>
      </c>
      <c r="AJ100" s="12">
        <v>0</v>
      </c>
      <c r="AK100" s="12">
        <f t="shared" si="64"/>
        <v>374.90000000000003</v>
      </c>
      <c r="AL100" s="12">
        <v>488.1</v>
      </c>
      <c r="AM100" s="12">
        <f t="shared" si="49"/>
        <v>-57.199999999999932</v>
      </c>
      <c r="AN100" s="13">
        <f t="shared" si="50"/>
        <v>0.68751146158078136</v>
      </c>
      <c r="AO100" s="12">
        <v>95</v>
      </c>
      <c r="AP100" s="11" t="s">
        <v>373</v>
      </c>
      <c r="AQ100" s="14"/>
    </row>
    <row r="101" spans="1:43" outlineLevel="2" x14ac:dyDescent="0.45">
      <c r="A101" s="11" t="s">
        <v>374</v>
      </c>
      <c r="B101" s="11" t="s">
        <v>375</v>
      </c>
      <c r="C101" s="11" t="s">
        <v>94</v>
      </c>
      <c r="D101" s="11" t="s">
        <v>59</v>
      </c>
      <c r="E101" s="11" t="s">
        <v>60</v>
      </c>
      <c r="F101" s="11" t="s">
        <v>105</v>
      </c>
      <c r="G101" s="11" t="s">
        <v>84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f t="shared" si="59"/>
        <v>0</v>
      </c>
      <c r="U101" s="12">
        <f t="shared" si="60"/>
        <v>0</v>
      </c>
      <c r="V101" s="12">
        <f t="shared" si="61"/>
        <v>0</v>
      </c>
      <c r="W101" s="12">
        <f t="shared" si="62"/>
        <v>0</v>
      </c>
      <c r="X101" s="12">
        <f t="shared" si="63"/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f t="shared" si="64"/>
        <v>0</v>
      </c>
      <c r="AL101" s="12">
        <v>0</v>
      </c>
      <c r="AM101" s="12">
        <f t="shared" si="49"/>
        <v>0</v>
      </c>
      <c r="AN101" s="13">
        <f t="shared" si="50"/>
        <v>0</v>
      </c>
      <c r="AO101" s="12">
        <v>0</v>
      </c>
      <c r="AP101" s="11" t="s">
        <v>376</v>
      </c>
      <c r="AQ101" s="14"/>
    </row>
    <row r="102" spans="1:43" ht="15.75" x14ac:dyDescent="0.5">
      <c r="A102" s="3" t="s">
        <v>377</v>
      </c>
      <c r="B102" s="3" t="s">
        <v>378</v>
      </c>
      <c r="C102" s="3"/>
      <c r="D102" s="3"/>
      <c r="E102" s="3"/>
      <c r="F102" s="3"/>
      <c r="G102" s="3"/>
      <c r="H102" s="4">
        <f t="shared" ref="H102:AL102" si="65">SUBTOTAL(9,H103:H123)</f>
        <v>0</v>
      </c>
      <c r="I102" s="4">
        <f t="shared" si="65"/>
        <v>102.7</v>
      </c>
      <c r="J102" s="4">
        <f t="shared" si="65"/>
        <v>137.19999999999999</v>
      </c>
      <c r="K102" s="4">
        <f t="shared" si="65"/>
        <v>90.6</v>
      </c>
      <c r="L102" s="4">
        <f t="shared" si="65"/>
        <v>105.1</v>
      </c>
      <c r="M102" s="4">
        <f t="shared" si="65"/>
        <v>89.9</v>
      </c>
      <c r="N102" s="4">
        <f t="shared" si="65"/>
        <v>79.2</v>
      </c>
      <c r="O102" s="4">
        <f t="shared" si="65"/>
        <v>117.8</v>
      </c>
      <c r="P102" s="4">
        <f t="shared" si="65"/>
        <v>120</v>
      </c>
      <c r="Q102" s="4">
        <f t="shared" si="65"/>
        <v>95.2</v>
      </c>
      <c r="R102" s="4">
        <f t="shared" si="65"/>
        <v>37.6</v>
      </c>
      <c r="S102" s="4">
        <f t="shared" si="65"/>
        <v>113.3</v>
      </c>
      <c r="T102" s="4">
        <f t="shared" si="65"/>
        <v>239.89999999999998</v>
      </c>
      <c r="U102" s="4">
        <f t="shared" si="65"/>
        <v>285.60000000000002</v>
      </c>
      <c r="V102" s="4">
        <f t="shared" si="65"/>
        <v>317</v>
      </c>
      <c r="W102" s="4">
        <f t="shared" si="65"/>
        <v>246.10000000000002</v>
      </c>
      <c r="X102" s="4">
        <f t="shared" si="65"/>
        <v>1088.5999999999999</v>
      </c>
      <c r="Y102" s="4">
        <f t="shared" si="65"/>
        <v>0</v>
      </c>
      <c r="Z102" s="4">
        <f t="shared" si="65"/>
        <v>69.5</v>
      </c>
      <c r="AA102" s="4">
        <f t="shared" si="65"/>
        <v>152.4</v>
      </c>
      <c r="AB102" s="4">
        <f t="shared" si="65"/>
        <v>60.5</v>
      </c>
      <c r="AC102" s="4">
        <f t="shared" si="65"/>
        <v>110.6</v>
      </c>
      <c r="AD102" s="4">
        <f t="shared" si="65"/>
        <v>99.7</v>
      </c>
      <c r="AE102" s="4">
        <f t="shared" si="65"/>
        <v>80</v>
      </c>
      <c r="AF102" s="4">
        <f t="shared" si="65"/>
        <v>83.3</v>
      </c>
      <c r="AG102" s="4">
        <f t="shared" si="65"/>
        <v>123</v>
      </c>
      <c r="AH102" s="4">
        <f t="shared" si="65"/>
        <v>0</v>
      </c>
      <c r="AI102" s="4">
        <f t="shared" si="65"/>
        <v>0</v>
      </c>
      <c r="AJ102" s="4">
        <f t="shared" si="65"/>
        <v>0</v>
      </c>
      <c r="AK102" s="4">
        <f t="shared" si="65"/>
        <v>779</v>
      </c>
      <c r="AL102" s="4">
        <f t="shared" si="65"/>
        <v>1050.7</v>
      </c>
      <c r="AM102" s="4">
        <f t="shared" ref="AM102:AM133" si="66">AL102-X102</f>
        <v>-37.899999999999864</v>
      </c>
      <c r="AN102" s="5">
        <f t="shared" ref="AN102:AN133" si="67">IF(X102=0,0,AK102/X102)</f>
        <v>0.71559801580011029</v>
      </c>
      <c r="AO102" s="4">
        <f>SUBTOTAL(9,AO103:AO123)</f>
        <v>1258.5</v>
      </c>
      <c r="AP102" s="3"/>
      <c r="AQ102" s="6"/>
    </row>
    <row r="103" spans="1:43" outlineLevel="1" x14ac:dyDescent="0.45">
      <c r="A103" s="7" t="s">
        <v>379</v>
      </c>
      <c r="B103" s="7" t="s">
        <v>380</v>
      </c>
      <c r="C103" s="7"/>
      <c r="D103" s="7"/>
      <c r="E103" s="7"/>
      <c r="F103" s="7"/>
      <c r="G103" s="7"/>
      <c r="H103" s="8">
        <f t="shared" ref="H103:AL103" si="68">SUBTOTAL(9,H104:H111)</f>
        <v>0</v>
      </c>
      <c r="I103" s="8">
        <f t="shared" si="68"/>
        <v>102.7</v>
      </c>
      <c r="J103" s="8">
        <f t="shared" si="68"/>
        <v>137.19999999999999</v>
      </c>
      <c r="K103" s="8">
        <f t="shared" si="68"/>
        <v>90.6</v>
      </c>
      <c r="L103" s="8">
        <f t="shared" si="68"/>
        <v>105.1</v>
      </c>
      <c r="M103" s="8">
        <f t="shared" si="68"/>
        <v>89.9</v>
      </c>
      <c r="N103" s="8">
        <f t="shared" si="68"/>
        <v>79.2</v>
      </c>
      <c r="O103" s="8">
        <f t="shared" si="68"/>
        <v>117.8</v>
      </c>
      <c r="P103" s="8">
        <f t="shared" si="68"/>
        <v>120</v>
      </c>
      <c r="Q103" s="8">
        <f t="shared" si="68"/>
        <v>95.2</v>
      </c>
      <c r="R103" s="8">
        <f t="shared" si="68"/>
        <v>37.6</v>
      </c>
      <c r="S103" s="8">
        <f t="shared" si="68"/>
        <v>113.3</v>
      </c>
      <c r="T103" s="8">
        <f t="shared" si="68"/>
        <v>239.89999999999998</v>
      </c>
      <c r="U103" s="8">
        <f t="shared" si="68"/>
        <v>285.60000000000002</v>
      </c>
      <c r="V103" s="8">
        <f t="shared" si="68"/>
        <v>317</v>
      </c>
      <c r="W103" s="8">
        <f t="shared" si="68"/>
        <v>246.10000000000002</v>
      </c>
      <c r="X103" s="8">
        <f t="shared" si="68"/>
        <v>1088.5999999999999</v>
      </c>
      <c r="Y103" s="8">
        <f t="shared" si="68"/>
        <v>0</v>
      </c>
      <c r="Z103" s="8">
        <f t="shared" si="68"/>
        <v>69.5</v>
      </c>
      <c r="AA103" s="8">
        <f t="shared" si="68"/>
        <v>152.4</v>
      </c>
      <c r="AB103" s="8">
        <f t="shared" si="68"/>
        <v>60.5</v>
      </c>
      <c r="AC103" s="8">
        <f t="shared" si="68"/>
        <v>110.6</v>
      </c>
      <c r="AD103" s="8">
        <f t="shared" si="68"/>
        <v>99.7</v>
      </c>
      <c r="AE103" s="8">
        <f t="shared" si="68"/>
        <v>80</v>
      </c>
      <c r="AF103" s="8">
        <f t="shared" si="68"/>
        <v>83.3</v>
      </c>
      <c r="AG103" s="8">
        <f t="shared" si="68"/>
        <v>123</v>
      </c>
      <c r="AH103" s="8">
        <f t="shared" si="68"/>
        <v>0</v>
      </c>
      <c r="AI103" s="8">
        <f t="shared" si="68"/>
        <v>0</v>
      </c>
      <c r="AJ103" s="8">
        <f t="shared" si="68"/>
        <v>0</v>
      </c>
      <c r="AK103" s="8">
        <f t="shared" si="68"/>
        <v>779</v>
      </c>
      <c r="AL103" s="8">
        <f t="shared" si="68"/>
        <v>1050.7</v>
      </c>
      <c r="AM103" s="8">
        <f t="shared" si="66"/>
        <v>-37.899999999999864</v>
      </c>
      <c r="AN103" s="9">
        <f t="shared" si="67"/>
        <v>0.71559801580011029</v>
      </c>
      <c r="AO103" s="8">
        <f>SUBTOTAL(9,AO104:AO111)</f>
        <v>1258.5</v>
      </c>
      <c r="AP103" s="7"/>
      <c r="AQ103" s="10"/>
    </row>
    <row r="104" spans="1:43" outlineLevel="2" x14ac:dyDescent="0.45">
      <c r="A104" s="11" t="s">
        <v>381</v>
      </c>
      <c r="B104" s="11" t="s">
        <v>382</v>
      </c>
      <c r="C104" s="11" t="s">
        <v>58</v>
      </c>
      <c r="D104" s="11" t="s">
        <v>59</v>
      </c>
      <c r="E104" s="11" t="s">
        <v>60</v>
      </c>
      <c r="F104" s="11" t="s">
        <v>119</v>
      </c>
      <c r="G104" s="11" t="s">
        <v>90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f t="shared" ref="T104:T111" si="69">SUM(H104:J104)</f>
        <v>0</v>
      </c>
      <c r="U104" s="12">
        <f t="shared" ref="U104:U111" si="70">SUM(K104:M104)</f>
        <v>0</v>
      </c>
      <c r="V104" s="12">
        <f t="shared" ref="V104:V111" si="71">SUM(N104:P104)</f>
        <v>0</v>
      </c>
      <c r="W104" s="12">
        <f t="shared" ref="W104:W111" si="72">SUM(Q104:S104)</f>
        <v>0</v>
      </c>
      <c r="X104" s="12">
        <f t="shared" ref="X104:X111" si="73">SUM(T104:W104)</f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f t="shared" ref="AK104:AK111" si="74">SUM(Y104:AJ104)</f>
        <v>0</v>
      </c>
      <c r="AL104" s="12">
        <v>0</v>
      </c>
      <c r="AM104" s="12">
        <f t="shared" si="66"/>
        <v>0</v>
      </c>
      <c r="AN104" s="13">
        <f t="shared" si="67"/>
        <v>0</v>
      </c>
      <c r="AO104" s="12">
        <v>0</v>
      </c>
      <c r="AP104" s="11" t="s">
        <v>383</v>
      </c>
      <c r="AQ104" s="14" t="s">
        <v>154</v>
      </c>
    </row>
    <row r="105" spans="1:43" outlineLevel="2" x14ac:dyDescent="0.45">
      <c r="A105" s="11" t="s">
        <v>384</v>
      </c>
      <c r="B105" s="11" t="s">
        <v>385</v>
      </c>
      <c r="C105" s="11" t="s">
        <v>58</v>
      </c>
      <c r="D105" s="11" t="s">
        <v>59</v>
      </c>
      <c r="E105" s="11" t="s">
        <v>72</v>
      </c>
      <c r="F105" s="11" t="s">
        <v>168</v>
      </c>
      <c r="G105" s="11" t="s">
        <v>62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f t="shared" si="69"/>
        <v>0</v>
      </c>
      <c r="U105" s="12">
        <f t="shared" si="70"/>
        <v>0</v>
      </c>
      <c r="V105" s="12">
        <f t="shared" si="71"/>
        <v>0</v>
      </c>
      <c r="W105" s="12">
        <f t="shared" si="72"/>
        <v>0</v>
      </c>
      <c r="X105" s="12">
        <f t="shared" si="73"/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f t="shared" si="74"/>
        <v>0</v>
      </c>
      <c r="AL105" s="12">
        <v>0</v>
      </c>
      <c r="AM105" s="12">
        <f t="shared" si="66"/>
        <v>0</v>
      </c>
      <c r="AN105" s="13">
        <f t="shared" si="67"/>
        <v>0</v>
      </c>
      <c r="AO105" s="12">
        <v>0</v>
      </c>
      <c r="AP105" s="11" t="s">
        <v>386</v>
      </c>
      <c r="AQ105" s="14"/>
    </row>
    <row r="106" spans="1:43" hidden="1" outlineLevel="2" x14ac:dyDescent="0.45">
      <c r="A106" s="11" t="s">
        <v>387</v>
      </c>
      <c r="B106" s="11" t="s">
        <v>388</v>
      </c>
      <c r="C106" s="11" t="s">
        <v>134</v>
      </c>
      <c r="D106" s="11" t="s">
        <v>59</v>
      </c>
      <c r="E106" s="11" t="s">
        <v>60</v>
      </c>
      <c r="F106" s="11" t="s">
        <v>202</v>
      </c>
      <c r="G106" s="11" t="s">
        <v>62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f t="shared" si="69"/>
        <v>0</v>
      </c>
      <c r="U106" s="12">
        <f t="shared" si="70"/>
        <v>0</v>
      </c>
      <c r="V106" s="12">
        <f t="shared" si="71"/>
        <v>0</v>
      </c>
      <c r="W106" s="12">
        <f t="shared" si="72"/>
        <v>0</v>
      </c>
      <c r="X106" s="12">
        <f t="shared" si="73"/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f t="shared" si="74"/>
        <v>0</v>
      </c>
      <c r="AL106" s="12">
        <v>0</v>
      </c>
      <c r="AM106" s="12">
        <f t="shared" si="66"/>
        <v>0</v>
      </c>
      <c r="AN106" s="13">
        <f t="shared" si="67"/>
        <v>0</v>
      </c>
      <c r="AO106" s="12">
        <v>202.9</v>
      </c>
      <c r="AP106" s="11" t="s">
        <v>389</v>
      </c>
      <c r="AQ106" s="14" t="s">
        <v>147</v>
      </c>
    </row>
    <row r="107" spans="1:43" outlineLevel="2" x14ac:dyDescent="0.45">
      <c r="A107" s="11" t="s">
        <v>390</v>
      </c>
      <c r="B107" s="11" t="s">
        <v>391</v>
      </c>
      <c r="C107" s="11" t="s">
        <v>94</v>
      </c>
      <c r="D107" s="11" t="s">
        <v>59</v>
      </c>
      <c r="E107" s="11" t="s">
        <v>72</v>
      </c>
      <c r="F107" s="11" t="s">
        <v>246</v>
      </c>
      <c r="G107" s="11" t="s">
        <v>90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f t="shared" si="69"/>
        <v>0</v>
      </c>
      <c r="U107" s="12">
        <f t="shared" si="70"/>
        <v>0</v>
      </c>
      <c r="V107" s="12">
        <f t="shared" si="71"/>
        <v>0</v>
      </c>
      <c r="W107" s="12">
        <f t="shared" si="72"/>
        <v>0</v>
      </c>
      <c r="X107" s="12">
        <f t="shared" si="73"/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f t="shared" si="74"/>
        <v>0</v>
      </c>
      <c r="AL107" s="12">
        <v>0</v>
      </c>
      <c r="AM107" s="12">
        <f t="shared" si="66"/>
        <v>0</v>
      </c>
      <c r="AN107" s="13">
        <f t="shared" si="67"/>
        <v>0</v>
      </c>
      <c r="AO107" s="12">
        <v>0</v>
      </c>
      <c r="AP107" s="11" t="s">
        <v>392</v>
      </c>
      <c r="AQ107" s="14"/>
    </row>
    <row r="108" spans="1:43" outlineLevel="2" x14ac:dyDescent="0.45">
      <c r="A108" s="11" t="s">
        <v>393</v>
      </c>
      <c r="B108" s="11" t="s">
        <v>394</v>
      </c>
      <c r="C108" s="11" t="s">
        <v>71</v>
      </c>
      <c r="D108" s="11" t="s">
        <v>59</v>
      </c>
      <c r="E108" s="11" t="s">
        <v>72</v>
      </c>
      <c r="F108" s="11" t="s">
        <v>176</v>
      </c>
      <c r="G108" s="11" t="s">
        <v>95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f t="shared" si="69"/>
        <v>0</v>
      </c>
      <c r="U108" s="12">
        <f t="shared" si="70"/>
        <v>0</v>
      </c>
      <c r="V108" s="12">
        <f t="shared" si="71"/>
        <v>0</v>
      </c>
      <c r="W108" s="12">
        <f t="shared" si="72"/>
        <v>0</v>
      </c>
      <c r="X108" s="12">
        <f t="shared" si="73"/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f t="shared" si="74"/>
        <v>0</v>
      </c>
      <c r="AL108" s="12">
        <v>0</v>
      </c>
      <c r="AM108" s="12">
        <f t="shared" si="66"/>
        <v>0</v>
      </c>
      <c r="AN108" s="13">
        <f t="shared" si="67"/>
        <v>0</v>
      </c>
      <c r="AO108" s="12">
        <v>0</v>
      </c>
      <c r="AP108" s="11" t="s">
        <v>395</v>
      </c>
      <c r="AQ108" s="14"/>
    </row>
    <row r="109" spans="1:43" outlineLevel="2" x14ac:dyDescent="0.45">
      <c r="A109" s="11" t="s">
        <v>396</v>
      </c>
      <c r="B109" s="11" t="s">
        <v>397</v>
      </c>
      <c r="C109" s="11" t="s">
        <v>88</v>
      </c>
      <c r="D109" s="11" t="s">
        <v>59</v>
      </c>
      <c r="E109" s="11" t="s">
        <v>66</v>
      </c>
      <c r="F109" s="11" t="s">
        <v>246</v>
      </c>
      <c r="G109" s="11" t="s">
        <v>95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f t="shared" si="69"/>
        <v>0</v>
      </c>
      <c r="U109" s="12">
        <f t="shared" si="70"/>
        <v>0</v>
      </c>
      <c r="V109" s="12">
        <f t="shared" si="71"/>
        <v>0</v>
      </c>
      <c r="W109" s="12">
        <f t="shared" si="72"/>
        <v>0</v>
      </c>
      <c r="X109" s="12">
        <f t="shared" si="73"/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f t="shared" si="74"/>
        <v>0</v>
      </c>
      <c r="AL109" s="12">
        <v>0</v>
      </c>
      <c r="AM109" s="12">
        <f t="shared" si="66"/>
        <v>0</v>
      </c>
      <c r="AN109" s="13">
        <f t="shared" si="67"/>
        <v>0</v>
      </c>
      <c r="AO109" s="12">
        <v>0</v>
      </c>
      <c r="AP109" s="11" t="s">
        <v>398</v>
      </c>
      <c r="AQ109" s="14"/>
    </row>
    <row r="110" spans="1:43" outlineLevel="2" x14ac:dyDescent="0.45">
      <c r="A110" s="11" t="s">
        <v>399</v>
      </c>
      <c r="B110" s="11" t="s">
        <v>400</v>
      </c>
      <c r="C110" s="11" t="s">
        <v>134</v>
      </c>
      <c r="D110" s="11" t="s">
        <v>59</v>
      </c>
      <c r="E110" s="11" t="s">
        <v>66</v>
      </c>
      <c r="F110" s="11" t="s">
        <v>127</v>
      </c>
      <c r="G110" s="11" t="s">
        <v>90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f t="shared" si="69"/>
        <v>0</v>
      </c>
      <c r="U110" s="12">
        <f t="shared" si="70"/>
        <v>0</v>
      </c>
      <c r="V110" s="12">
        <f t="shared" si="71"/>
        <v>0</v>
      </c>
      <c r="W110" s="12">
        <f t="shared" si="72"/>
        <v>0</v>
      </c>
      <c r="X110" s="12">
        <f t="shared" si="73"/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f t="shared" si="74"/>
        <v>0</v>
      </c>
      <c r="AL110" s="12">
        <v>0</v>
      </c>
      <c r="AM110" s="12">
        <f t="shared" si="66"/>
        <v>0</v>
      </c>
      <c r="AN110" s="13">
        <f t="shared" si="67"/>
        <v>0</v>
      </c>
      <c r="AO110" s="12">
        <v>0</v>
      </c>
      <c r="AP110" s="11" t="s">
        <v>401</v>
      </c>
      <c r="AQ110" s="14"/>
    </row>
    <row r="111" spans="1:43" outlineLevel="2" x14ac:dyDescent="0.45">
      <c r="A111" s="11" t="s">
        <v>402</v>
      </c>
      <c r="B111" s="11" t="s">
        <v>403</v>
      </c>
      <c r="C111" s="11" t="s">
        <v>94</v>
      </c>
      <c r="D111" s="11" t="s">
        <v>59</v>
      </c>
      <c r="E111" s="11" t="s">
        <v>60</v>
      </c>
      <c r="F111" s="11" t="s">
        <v>202</v>
      </c>
      <c r="G111" s="11" t="s">
        <v>95</v>
      </c>
      <c r="H111" s="12">
        <v>0</v>
      </c>
      <c r="I111" s="12">
        <v>102.7</v>
      </c>
      <c r="J111" s="12">
        <v>137.19999999999999</v>
      </c>
      <c r="K111" s="12">
        <v>90.6</v>
      </c>
      <c r="L111" s="12">
        <v>105.1</v>
      </c>
      <c r="M111" s="12">
        <v>89.9</v>
      </c>
      <c r="N111" s="12">
        <v>79.2</v>
      </c>
      <c r="O111" s="12">
        <v>117.8</v>
      </c>
      <c r="P111" s="12">
        <v>120</v>
      </c>
      <c r="Q111" s="12">
        <v>95.2</v>
      </c>
      <c r="R111" s="12">
        <v>37.6</v>
      </c>
      <c r="S111" s="12">
        <v>113.3</v>
      </c>
      <c r="T111" s="12">
        <f t="shared" si="69"/>
        <v>239.89999999999998</v>
      </c>
      <c r="U111" s="12">
        <f t="shared" si="70"/>
        <v>285.60000000000002</v>
      </c>
      <c r="V111" s="12">
        <f t="shared" si="71"/>
        <v>317</v>
      </c>
      <c r="W111" s="12">
        <f t="shared" si="72"/>
        <v>246.10000000000002</v>
      </c>
      <c r="X111" s="12">
        <f t="shared" si="73"/>
        <v>1088.5999999999999</v>
      </c>
      <c r="Y111" s="12">
        <v>0</v>
      </c>
      <c r="Z111" s="12">
        <v>69.5</v>
      </c>
      <c r="AA111" s="12">
        <v>152.4</v>
      </c>
      <c r="AB111" s="12">
        <v>60.5</v>
      </c>
      <c r="AC111" s="12">
        <v>110.6</v>
      </c>
      <c r="AD111" s="12">
        <v>99.7</v>
      </c>
      <c r="AE111" s="12">
        <v>80</v>
      </c>
      <c r="AF111" s="12">
        <v>83.3</v>
      </c>
      <c r="AG111" s="12">
        <v>123</v>
      </c>
      <c r="AH111" s="12">
        <v>0</v>
      </c>
      <c r="AI111" s="12">
        <v>0</v>
      </c>
      <c r="AJ111" s="12">
        <v>0</v>
      </c>
      <c r="AK111" s="12">
        <f t="shared" si="74"/>
        <v>779</v>
      </c>
      <c r="AL111" s="12">
        <v>1050.7</v>
      </c>
      <c r="AM111" s="12">
        <f t="shared" si="66"/>
        <v>-37.899999999999864</v>
      </c>
      <c r="AN111" s="13">
        <f t="shared" si="67"/>
        <v>0.71559801580011029</v>
      </c>
      <c r="AO111" s="12">
        <v>1055.5999999999999</v>
      </c>
      <c r="AP111" s="11" t="s">
        <v>404</v>
      </c>
      <c r="AQ111" s="14"/>
    </row>
    <row r="112" spans="1:43" outlineLevel="1" x14ac:dyDescent="0.45">
      <c r="A112" s="7" t="s">
        <v>405</v>
      </c>
      <c r="B112" s="7" t="s">
        <v>406</v>
      </c>
      <c r="C112" s="7"/>
      <c r="D112" s="7"/>
      <c r="E112" s="7"/>
      <c r="F112" s="7"/>
      <c r="G112" s="7"/>
      <c r="H112" s="8">
        <f t="shared" ref="H112:AL112" si="75">SUBTOTAL(9,H113:H123)</f>
        <v>0</v>
      </c>
      <c r="I112" s="8">
        <f t="shared" si="75"/>
        <v>0</v>
      </c>
      <c r="J112" s="8">
        <f t="shared" si="75"/>
        <v>0</v>
      </c>
      <c r="K112" s="8">
        <f t="shared" si="75"/>
        <v>0</v>
      </c>
      <c r="L112" s="8">
        <f t="shared" si="75"/>
        <v>0</v>
      </c>
      <c r="M112" s="8">
        <f t="shared" si="75"/>
        <v>0</v>
      </c>
      <c r="N112" s="8">
        <f t="shared" si="75"/>
        <v>0</v>
      </c>
      <c r="O112" s="8">
        <f t="shared" si="75"/>
        <v>0</v>
      </c>
      <c r="P112" s="8">
        <f t="shared" si="75"/>
        <v>0</v>
      </c>
      <c r="Q112" s="8">
        <f t="shared" si="75"/>
        <v>0</v>
      </c>
      <c r="R112" s="8">
        <f t="shared" si="75"/>
        <v>0</v>
      </c>
      <c r="S112" s="8">
        <f t="shared" si="75"/>
        <v>0</v>
      </c>
      <c r="T112" s="8">
        <f t="shared" si="75"/>
        <v>0</v>
      </c>
      <c r="U112" s="8">
        <f t="shared" si="75"/>
        <v>0</v>
      </c>
      <c r="V112" s="8">
        <f t="shared" si="75"/>
        <v>0</v>
      </c>
      <c r="W112" s="8">
        <f t="shared" si="75"/>
        <v>0</v>
      </c>
      <c r="X112" s="8">
        <f t="shared" si="75"/>
        <v>0</v>
      </c>
      <c r="Y112" s="8">
        <f t="shared" si="75"/>
        <v>0</v>
      </c>
      <c r="Z112" s="8">
        <f t="shared" si="75"/>
        <v>0</v>
      </c>
      <c r="AA112" s="8">
        <f t="shared" si="75"/>
        <v>0</v>
      </c>
      <c r="AB112" s="8">
        <f t="shared" si="75"/>
        <v>0</v>
      </c>
      <c r="AC112" s="8">
        <f t="shared" si="75"/>
        <v>0</v>
      </c>
      <c r="AD112" s="8">
        <f t="shared" si="75"/>
        <v>0</v>
      </c>
      <c r="AE112" s="8">
        <f t="shared" si="75"/>
        <v>0</v>
      </c>
      <c r="AF112" s="8">
        <f t="shared" si="75"/>
        <v>0</v>
      </c>
      <c r="AG112" s="8">
        <f t="shared" si="75"/>
        <v>0</v>
      </c>
      <c r="AH112" s="8">
        <f t="shared" si="75"/>
        <v>0</v>
      </c>
      <c r="AI112" s="8">
        <f t="shared" si="75"/>
        <v>0</v>
      </c>
      <c r="AJ112" s="8">
        <f t="shared" si="75"/>
        <v>0</v>
      </c>
      <c r="AK112" s="8">
        <f t="shared" si="75"/>
        <v>0</v>
      </c>
      <c r="AL112" s="8">
        <f t="shared" si="75"/>
        <v>0</v>
      </c>
      <c r="AM112" s="8">
        <f t="shared" si="66"/>
        <v>0</v>
      </c>
      <c r="AN112" s="9">
        <f t="shared" si="67"/>
        <v>0</v>
      </c>
      <c r="AO112" s="8">
        <f>SUBTOTAL(9,AO113:AO123)</f>
        <v>0</v>
      </c>
      <c r="AP112" s="7"/>
      <c r="AQ112" s="10"/>
    </row>
    <row r="113" spans="1:43" outlineLevel="2" x14ac:dyDescent="0.45">
      <c r="A113" s="11" t="s">
        <v>407</v>
      </c>
      <c r="B113" s="11" t="s">
        <v>408</v>
      </c>
      <c r="C113" s="11" t="s">
        <v>71</v>
      </c>
      <c r="D113" s="11" t="s">
        <v>59</v>
      </c>
      <c r="E113" s="11" t="s">
        <v>72</v>
      </c>
      <c r="F113" s="11" t="s">
        <v>119</v>
      </c>
      <c r="G113" s="11" t="s">
        <v>95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f t="shared" ref="T113:T123" si="76">SUM(H113:J113)</f>
        <v>0</v>
      </c>
      <c r="U113" s="12">
        <f t="shared" ref="U113:U123" si="77">SUM(K113:M113)</f>
        <v>0</v>
      </c>
      <c r="V113" s="12">
        <f t="shared" ref="V113:V123" si="78">SUM(N113:P113)</f>
        <v>0</v>
      </c>
      <c r="W113" s="12">
        <f t="shared" ref="W113:W123" si="79">SUM(Q113:S113)</f>
        <v>0</v>
      </c>
      <c r="X113" s="12">
        <f t="shared" ref="X113:X123" si="80">SUM(T113:W113)</f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f t="shared" ref="AK113:AK123" si="81">SUM(Y113:AJ113)</f>
        <v>0</v>
      </c>
      <c r="AL113" s="12">
        <v>0</v>
      </c>
      <c r="AM113" s="12">
        <f t="shared" si="66"/>
        <v>0</v>
      </c>
      <c r="AN113" s="13">
        <f t="shared" si="67"/>
        <v>0</v>
      </c>
      <c r="AO113" s="12">
        <v>0</v>
      </c>
      <c r="AP113" s="11" t="s">
        <v>409</v>
      </c>
      <c r="AQ113" s="14"/>
    </row>
    <row r="114" spans="1:43" outlineLevel="2" x14ac:dyDescent="0.45">
      <c r="A114" s="11" t="s">
        <v>410</v>
      </c>
      <c r="B114" s="11" t="s">
        <v>411</v>
      </c>
      <c r="C114" s="11" t="s">
        <v>71</v>
      </c>
      <c r="D114" s="11" t="s">
        <v>59</v>
      </c>
      <c r="E114" s="11" t="s">
        <v>66</v>
      </c>
      <c r="F114" s="11" t="s">
        <v>214</v>
      </c>
      <c r="G114" s="11" t="s">
        <v>90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f t="shared" si="76"/>
        <v>0</v>
      </c>
      <c r="U114" s="12">
        <f t="shared" si="77"/>
        <v>0</v>
      </c>
      <c r="V114" s="12">
        <f t="shared" si="78"/>
        <v>0</v>
      </c>
      <c r="W114" s="12">
        <f t="shared" si="79"/>
        <v>0</v>
      </c>
      <c r="X114" s="12">
        <f t="shared" si="80"/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f t="shared" si="81"/>
        <v>0</v>
      </c>
      <c r="AL114" s="12">
        <v>0</v>
      </c>
      <c r="AM114" s="12">
        <f t="shared" si="66"/>
        <v>0</v>
      </c>
      <c r="AN114" s="13">
        <f t="shared" si="67"/>
        <v>0</v>
      </c>
      <c r="AO114" s="12">
        <v>0</v>
      </c>
      <c r="AP114" s="11" t="s">
        <v>412</v>
      </c>
      <c r="AQ114" s="14"/>
    </row>
    <row r="115" spans="1:43" outlineLevel="2" x14ac:dyDescent="0.45">
      <c r="A115" s="11" t="s">
        <v>413</v>
      </c>
      <c r="B115" s="11" t="s">
        <v>414</v>
      </c>
      <c r="C115" s="11" t="s">
        <v>71</v>
      </c>
      <c r="D115" s="11" t="s">
        <v>59</v>
      </c>
      <c r="E115" s="11" t="s">
        <v>60</v>
      </c>
      <c r="F115" s="11" t="s">
        <v>115</v>
      </c>
      <c r="G115" s="11" t="s">
        <v>90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f t="shared" si="76"/>
        <v>0</v>
      </c>
      <c r="U115" s="12">
        <f t="shared" si="77"/>
        <v>0</v>
      </c>
      <c r="V115" s="12">
        <f t="shared" si="78"/>
        <v>0</v>
      </c>
      <c r="W115" s="12">
        <f t="shared" si="79"/>
        <v>0</v>
      </c>
      <c r="X115" s="12">
        <f t="shared" si="80"/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f t="shared" si="81"/>
        <v>0</v>
      </c>
      <c r="AL115" s="12">
        <v>0</v>
      </c>
      <c r="AM115" s="12">
        <f t="shared" si="66"/>
        <v>0</v>
      </c>
      <c r="AN115" s="13">
        <f t="shared" si="67"/>
        <v>0</v>
      </c>
      <c r="AO115" s="12">
        <v>0</v>
      </c>
      <c r="AP115" s="11" t="s">
        <v>415</v>
      </c>
      <c r="AQ115" s="14"/>
    </row>
    <row r="116" spans="1:43" outlineLevel="2" x14ac:dyDescent="0.45">
      <c r="A116" s="11" t="s">
        <v>416</v>
      </c>
      <c r="B116" s="11" t="s">
        <v>417</v>
      </c>
      <c r="C116" s="11" t="s">
        <v>88</v>
      </c>
      <c r="D116" s="11" t="s">
        <v>59</v>
      </c>
      <c r="E116" s="11" t="s">
        <v>60</v>
      </c>
      <c r="F116" s="11" t="s">
        <v>285</v>
      </c>
      <c r="G116" s="11" t="s">
        <v>90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f t="shared" si="76"/>
        <v>0</v>
      </c>
      <c r="U116" s="12">
        <f t="shared" si="77"/>
        <v>0</v>
      </c>
      <c r="V116" s="12">
        <f t="shared" si="78"/>
        <v>0</v>
      </c>
      <c r="W116" s="12">
        <f t="shared" si="79"/>
        <v>0</v>
      </c>
      <c r="X116" s="12">
        <f t="shared" si="80"/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f t="shared" si="81"/>
        <v>0</v>
      </c>
      <c r="AL116" s="12">
        <v>0</v>
      </c>
      <c r="AM116" s="12">
        <f t="shared" si="66"/>
        <v>0</v>
      </c>
      <c r="AN116" s="13">
        <f t="shared" si="67"/>
        <v>0</v>
      </c>
      <c r="AO116" s="12">
        <v>0</v>
      </c>
      <c r="AP116" s="11" t="s">
        <v>418</v>
      </c>
      <c r="AQ116" s="14"/>
    </row>
    <row r="117" spans="1:43" outlineLevel="2" x14ac:dyDescent="0.45">
      <c r="A117" s="11" t="s">
        <v>419</v>
      </c>
      <c r="B117" s="11" t="s">
        <v>420</v>
      </c>
      <c r="C117" s="11" t="s">
        <v>88</v>
      </c>
      <c r="D117" s="11" t="s">
        <v>59</v>
      </c>
      <c r="E117" s="11" t="s">
        <v>72</v>
      </c>
      <c r="F117" s="11" t="s">
        <v>224</v>
      </c>
      <c r="G117" s="11" t="s">
        <v>84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f t="shared" si="76"/>
        <v>0</v>
      </c>
      <c r="U117" s="12">
        <f t="shared" si="77"/>
        <v>0</v>
      </c>
      <c r="V117" s="12">
        <f t="shared" si="78"/>
        <v>0</v>
      </c>
      <c r="W117" s="12">
        <f t="shared" si="79"/>
        <v>0</v>
      </c>
      <c r="X117" s="12">
        <f t="shared" si="80"/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f t="shared" si="81"/>
        <v>0</v>
      </c>
      <c r="AL117" s="12">
        <v>0</v>
      </c>
      <c r="AM117" s="12">
        <f t="shared" si="66"/>
        <v>0</v>
      </c>
      <c r="AN117" s="13">
        <f t="shared" si="67"/>
        <v>0</v>
      </c>
      <c r="AO117" s="12">
        <v>0</v>
      </c>
      <c r="AP117" s="11" t="s">
        <v>421</v>
      </c>
      <c r="AQ117" s="14"/>
    </row>
    <row r="118" spans="1:43" outlineLevel="2" x14ac:dyDescent="0.45">
      <c r="A118" s="11" t="s">
        <v>422</v>
      </c>
      <c r="B118" s="11" t="s">
        <v>423</v>
      </c>
      <c r="C118" s="11" t="s">
        <v>71</v>
      </c>
      <c r="D118" s="11" t="s">
        <v>59</v>
      </c>
      <c r="E118" s="11" t="s">
        <v>66</v>
      </c>
      <c r="F118" s="11" t="s">
        <v>340</v>
      </c>
      <c r="G118" s="11" t="s">
        <v>62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f t="shared" si="76"/>
        <v>0</v>
      </c>
      <c r="U118" s="12">
        <f t="shared" si="77"/>
        <v>0</v>
      </c>
      <c r="V118" s="12">
        <f t="shared" si="78"/>
        <v>0</v>
      </c>
      <c r="W118" s="12">
        <f t="shared" si="79"/>
        <v>0</v>
      </c>
      <c r="X118" s="12">
        <f t="shared" si="80"/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f t="shared" si="81"/>
        <v>0</v>
      </c>
      <c r="AL118" s="12">
        <v>0</v>
      </c>
      <c r="AM118" s="12">
        <f t="shared" si="66"/>
        <v>0</v>
      </c>
      <c r="AN118" s="13">
        <f t="shared" si="67"/>
        <v>0</v>
      </c>
      <c r="AO118" s="12">
        <v>0</v>
      </c>
      <c r="AP118" s="11" t="s">
        <v>424</v>
      </c>
      <c r="AQ118" s="14"/>
    </row>
    <row r="119" spans="1:43" outlineLevel="2" x14ac:dyDescent="0.45">
      <c r="A119" s="11" t="s">
        <v>425</v>
      </c>
      <c r="B119" s="11" t="s">
        <v>426</v>
      </c>
      <c r="C119" s="11" t="s">
        <v>58</v>
      </c>
      <c r="D119" s="11" t="s">
        <v>59</v>
      </c>
      <c r="E119" s="11" t="s">
        <v>60</v>
      </c>
      <c r="F119" s="11" t="s">
        <v>73</v>
      </c>
      <c r="G119" s="11" t="s">
        <v>84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f t="shared" si="76"/>
        <v>0</v>
      </c>
      <c r="U119" s="12">
        <f t="shared" si="77"/>
        <v>0</v>
      </c>
      <c r="V119" s="12">
        <f t="shared" si="78"/>
        <v>0</v>
      </c>
      <c r="W119" s="12">
        <f t="shared" si="79"/>
        <v>0</v>
      </c>
      <c r="X119" s="12">
        <f t="shared" si="80"/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f t="shared" si="81"/>
        <v>0</v>
      </c>
      <c r="AL119" s="12">
        <v>0</v>
      </c>
      <c r="AM119" s="12">
        <f t="shared" si="66"/>
        <v>0</v>
      </c>
      <c r="AN119" s="13">
        <f t="shared" si="67"/>
        <v>0</v>
      </c>
      <c r="AO119" s="12">
        <v>0</v>
      </c>
      <c r="AP119" s="11" t="s">
        <v>427</v>
      </c>
      <c r="AQ119" s="14"/>
    </row>
    <row r="120" spans="1:43" outlineLevel="2" x14ac:dyDescent="0.45">
      <c r="A120" s="11" t="s">
        <v>428</v>
      </c>
      <c r="B120" s="11" t="s">
        <v>429</v>
      </c>
      <c r="C120" s="11" t="s">
        <v>94</v>
      </c>
      <c r="D120" s="11" t="s">
        <v>59</v>
      </c>
      <c r="E120" s="11" t="s">
        <v>66</v>
      </c>
      <c r="F120" s="11" t="s">
        <v>119</v>
      </c>
      <c r="G120" s="11" t="s">
        <v>95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f t="shared" si="76"/>
        <v>0</v>
      </c>
      <c r="U120" s="12">
        <f t="shared" si="77"/>
        <v>0</v>
      </c>
      <c r="V120" s="12">
        <f t="shared" si="78"/>
        <v>0</v>
      </c>
      <c r="W120" s="12">
        <f t="shared" si="79"/>
        <v>0</v>
      </c>
      <c r="X120" s="12">
        <f t="shared" si="80"/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f t="shared" si="81"/>
        <v>0</v>
      </c>
      <c r="AL120" s="12">
        <v>0</v>
      </c>
      <c r="AM120" s="12">
        <f t="shared" si="66"/>
        <v>0</v>
      </c>
      <c r="AN120" s="13">
        <f t="shared" si="67"/>
        <v>0</v>
      </c>
      <c r="AO120" s="12">
        <v>0</v>
      </c>
      <c r="AP120" s="11" t="s">
        <v>430</v>
      </c>
      <c r="AQ120" s="14"/>
    </row>
    <row r="121" spans="1:43" outlineLevel="2" x14ac:dyDescent="0.45">
      <c r="A121" s="11" t="s">
        <v>431</v>
      </c>
      <c r="B121" s="11" t="s">
        <v>432</v>
      </c>
      <c r="C121" s="11" t="s">
        <v>94</v>
      </c>
      <c r="D121" s="11" t="s">
        <v>59</v>
      </c>
      <c r="E121" s="11" t="s">
        <v>66</v>
      </c>
      <c r="F121" s="11" t="s">
        <v>176</v>
      </c>
      <c r="G121" s="11" t="s">
        <v>84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f t="shared" si="76"/>
        <v>0</v>
      </c>
      <c r="U121" s="12">
        <f t="shared" si="77"/>
        <v>0</v>
      </c>
      <c r="V121" s="12">
        <f t="shared" si="78"/>
        <v>0</v>
      </c>
      <c r="W121" s="12">
        <f t="shared" si="79"/>
        <v>0</v>
      </c>
      <c r="X121" s="12">
        <f t="shared" si="80"/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f t="shared" si="81"/>
        <v>0</v>
      </c>
      <c r="AL121" s="12">
        <v>0</v>
      </c>
      <c r="AM121" s="12">
        <f t="shared" si="66"/>
        <v>0</v>
      </c>
      <c r="AN121" s="13">
        <f t="shared" si="67"/>
        <v>0</v>
      </c>
      <c r="AO121" s="12">
        <v>0</v>
      </c>
      <c r="AP121" s="11" t="s">
        <v>433</v>
      </c>
      <c r="AQ121" s="14"/>
    </row>
    <row r="122" spans="1:43" outlineLevel="2" x14ac:dyDescent="0.45">
      <c r="A122" s="11" t="s">
        <v>434</v>
      </c>
      <c r="B122" s="11" t="s">
        <v>435</v>
      </c>
      <c r="C122" s="11" t="s">
        <v>58</v>
      </c>
      <c r="D122" s="11" t="s">
        <v>59</v>
      </c>
      <c r="E122" s="11" t="s">
        <v>60</v>
      </c>
      <c r="F122" s="11" t="s">
        <v>73</v>
      </c>
      <c r="G122" s="11" t="s">
        <v>62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f t="shared" si="76"/>
        <v>0</v>
      </c>
      <c r="U122" s="12">
        <f t="shared" si="77"/>
        <v>0</v>
      </c>
      <c r="V122" s="12">
        <f t="shared" si="78"/>
        <v>0</v>
      </c>
      <c r="W122" s="12">
        <f t="shared" si="79"/>
        <v>0</v>
      </c>
      <c r="X122" s="12">
        <f t="shared" si="80"/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f t="shared" si="81"/>
        <v>0</v>
      </c>
      <c r="AL122" s="12">
        <v>0</v>
      </c>
      <c r="AM122" s="12">
        <f t="shared" si="66"/>
        <v>0</v>
      </c>
      <c r="AN122" s="13">
        <f t="shared" si="67"/>
        <v>0</v>
      </c>
      <c r="AO122" s="12">
        <v>0</v>
      </c>
      <c r="AP122" s="11" t="s">
        <v>436</v>
      </c>
      <c r="AQ122" s="14"/>
    </row>
    <row r="123" spans="1:43" outlineLevel="2" x14ac:dyDescent="0.45">
      <c r="A123" s="11" t="s">
        <v>437</v>
      </c>
      <c r="B123" s="11" t="s">
        <v>438</v>
      </c>
      <c r="C123" s="11" t="s">
        <v>71</v>
      </c>
      <c r="D123" s="11" t="s">
        <v>59</v>
      </c>
      <c r="E123" s="11" t="s">
        <v>72</v>
      </c>
      <c r="F123" s="11" t="s">
        <v>67</v>
      </c>
      <c r="G123" s="11" t="s">
        <v>62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f t="shared" si="76"/>
        <v>0</v>
      </c>
      <c r="U123" s="12">
        <f t="shared" si="77"/>
        <v>0</v>
      </c>
      <c r="V123" s="12">
        <f t="shared" si="78"/>
        <v>0</v>
      </c>
      <c r="W123" s="12">
        <f t="shared" si="79"/>
        <v>0</v>
      </c>
      <c r="X123" s="12">
        <f t="shared" si="80"/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f t="shared" si="81"/>
        <v>0</v>
      </c>
      <c r="AL123" s="12">
        <v>0</v>
      </c>
      <c r="AM123" s="12">
        <f t="shared" si="66"/>
        <v>0</v>
      </c>
      <c r="AN123" s="13">
        <f t="shared" si="67"/>
        <v>0</v>
      </c>
      <c r="AO123" s="12">
        <v>0</v>
      </c>
      <c r="AP123" s="11" t="s">
        <v>439</v>
      </c>
      <c r="AQ123" s="14"/>
    </row>
    <row r="124" spans="1:43" ht="15.75" x14ac:dyDescent="0.5">
      <c r="A124" s="3" t="s">
        <v>440</v>
      </c>
      <c r="B124" s="3" t="s">
        <v>441</v>
      </c>
      <c r="C124" s="3"/>
      <c r="D124" s="3"/>
      <c r="E124" s="3"/>
      <c r="F124" s="3"/>
      <c r="G124" s="3"/>
      <c r="H124" s="4">
        <f t="shared" ref="H124:AL124" si="82">SUBTOTAL(9,H125:H149)</f>
        <v>45.4</v>
      </c>
      <c r="I124" s="4">
        <f t="shared" si="82"/>
        <v>209.2</v>
      </c>
      <c r="J124" s="4">
        <f t="shared" si="82"/>
        <v>271.60000000000002</v>
      </c>
      <c r="K124" s="4">
        <f t="shared" si="82"/>
        <v>394</v>
      </c>
      <c r="L124" s="4">
        <f t="shared" si="82"/>
        <v>800.6</v>
      </c>
      <c r="M124" s="4">
        <f t="shared" si="82"/>
        <v>1093.1999999999998</v>
      </c>
      <c r="N124" s="4">
        <f t="shared" si="82"/>
        <v>957.2</v>
      </c>
      <c r="O124" s="4">
        <f t="shared" si="82"/>
        <v>906.9</v>
      </c>
      <c r="P124" s="4">
        <f t="shared" si="82"/>
        <v>1157.5</v>
      </c>
      <c r="Q124" s="4">
        <f t="shared" si="82"/>
        <v>1047.6999999999998</v>
      </c>
      <c r="R124" s="4">
        <f t="shared" si="82"/>
        <v>1102.5999999999999</v>
      </c>
      <c r="S124" s="4">
        <f t="shared" si="82"/>
        <v>1190.0000000000002</v>
      </c>
      <c r="T124" s="4">
        <f t="shared" si="82"/>
        <v>526.20000000000005</v>
      </c>
      <c r="U124" s="4">
        <f t="shared" si="82"/>
        <v>2287.8000000000002</v>
      </c>
      <c r="V124" s="4">
        <f t="shared" si="82"/>
        <v>3021.6</v>
      </c>
      <c r="W124" s="4">
        <f t="shared" si="82"/>
        <v>3340.3</v>
      </c>
      <c r="X124" s="4">
        <f t="shared" si="82"/>
        <v>9175.9</v>
      </c>
      <c r="Y124" s="4">
        <f t="shared" si="82"/>
        <v>43.2</v>
      </c>
      <c r="Z124" s="4">
        <f t="shared" si="82"/>
        <v>202.8</v>
      </c>
      <c r="AA124" s="4">
        <f t="shared" si="82"/>
        <v>219.39999999999998</v>
      </c>
      <c r="AB124" s="4">
        <f t="shared" si="82"/>
        <v>273.89999999999998</v>
      </c>
      <c r="AC124" s="4">
        <f t="shared" si="82"/>
        <v>698.4</v>
      </c>
      <c r="AD124" s="4">
        <f t="shared" si="82"/>
        <v>929.39999999999986</v>
      </c>
      <c r="AE124" s="4">
        <f t="shared" si="82"/>
        <v>800.8</v>
      </c>
      <c r="AF124" s="4">
        <f t="shared" si="82"/>
        <v>743</v>
      </c>
      <c r="AG124" s="4">
        <f t="shared" si="82"/>
        <v>1169.9000000000001</v>
      </c>
      <c r="AH124" s="4">
        <f t="shared" si="82"/>
        <v>0</v>
      </c>
      <c r="AI124" s="4">
        <f t="shared" si="82"/>
        <v>0</v>
      </c>
      <c r="AJ124" s="4">
        <f t="shared" si="82"/>
        <v>0</v>
      </c>
      <c r="AK124" s="4">
        <f t="shared" si="82"/>
        <v>5080.7999999999993</v>
      </c>
      <c r="AL124" s="4">
        <f t="shared" si="82"/>
        <v>8420.5</v>
      </c>
      <c r="AM124" s="4">
        <f t="shared" si="66"/>
        <v>-755.39999999999964</v>
      </c>
      <c r="AN124" s="5">
        <f t="shared" si="67"/>
        <v>0.55371135256487092</v>
      </c>
      <c r="AO124" s="4">
        <f>SUBTOTAL(9,AO125:AO149)</f>
        <v>5864.0999999999995</v>
      </c>
      <c r="AP124" s="3"/>
      <c r="AQ124" s="6"/>
    </row>
    <row r="125" spans="1:43" outlineLevel="1" x14ac:dyDescent="0.45">
      <c r="A125" s="7" t="s">
        <v>442</v>
      </c>
      <c r="B125" s="7" t="s">
        <v>443</v>
      </c>
      <c r="C125" s="7"/>
      <c r="D125" s="7"/>
      <c r="E125" s="7"/>
      <c r="F125" s="7"/>
      <c r="G125" s="7"/>
      <c r="H125" s="8">
        <f t="shared" ref="H125:AL125" si="83">SUBTOTAL(9,H126:H138)</f>
        <v>29.9</v>
      </c>
      <c r="I125" s="8">
        <f t="shared" si="83"/>
        <v>56.400000000000006</v>
      </c>
      <c r="J125" s="8">
        <f t="shared" si="83"/>
        <v>135.30000000000001</v>
      </c>
      <c r="K125" s="8">
        <f t="shared" si="83"/>
        <v>294.89999999999998</v>
      </c>
      <c r="L125" s="8">
        <f t="shared" si="83"/>
        <v>443.59999999999997</v>
      </c>
      <c r="M125" s="8">
        <f t="shared" si="83"/>
        <v>744.09999999999991</v>
      </c>
      <c r="N125" s="8">
        <f t="shared" si="83"/>
        <v>697.5</v>
      </c>
      <c r="O125" s="8">
        <f t="shared" si="83"/>
        <v>496.29999999999995</v>
      </c>
      <c r="P125" s="8">
        <f t="shared" si="83"/>
        <v>684.9</v>
      </c>
      <c r="Q125" s="8">
        <f t="shared" si="83"/>
        <v>770</v>
      </c>
      <c r="R125" s="8">
        <f t="shared" si="83"/>
        <v>715.39999999999986</v>
      </c>
      <c r="S125" s="8">
        <f t="shared" si="83"/>
        <v>857.90000000000009</v>
      </c>
      <c r="T125" s="8">
        <f t="shared" si="83"/>
        <v>221.6</v>
      </c>
      <c r="U125" s="8">
        <f t="shared" si="83"/>
        <v>1482.6000000000001</v>
      </c>
      <c r="V125" s="8">
        <f t="shared" si="83"/>
        <v>1878.6999999999998</v>
      </c>
      <c r="W125" s="8">
        <f t="shared" si="83"/>
        <v>2343.3000000000002</v>
      </c>
      <c r="X125" s="8">
        <f t="shared" si="83"/>
        <v>5926.2</v>
      </c>
      <c r="Y125" s="8">
        <f t="shared" si="83"/>
        <v>31.2</v>
      </c>
      <c r="Z125" s="8">
        <f t="shared" si="83"/>
        <v>40.5</v>
      </c>
      <c r="AA125" s="8">
        <f t="shared" si="83"/>
        <v>116.6</v>
      </c>
      <c r="AB125" s="8">
        <f t="shared" si="83"/>
        <v>185.5</v>
      </c>
      <c r="AC125" s="8">
        <f t="shared" si="83"/>
        <v>380.7</v>
      </c>
      <c r="AD125" s="8">
        <f t="shared" si="83"/>
        <v>687.9</v>
      </c>
      <c r="AE125" s="8">
        <f t="shared" si="83"/>
        <v>533.29999999999995</v>
      </c>
      <c r="AF125" s="8">
        <f t="shared" si="83"/>
        <v>472.8</v>
      </c>
      <c r="AG125" s="8">
        <f t="shared" si="83"/>
        <v>722.8</v>
      </c>
      <c r="AH125" s="8">
        <f t="shared" si="83"/>
        <v>0</v>
      </c>
      <c r="AI125" s="8">
        <f t="shared" si="83"/>
        <v>0</v>
      </c>
      <c r="AJ125" s="8">
        <f t="shared" si="83"/>
        <v>0</v>
      </c>
      <c r="AK125" s="8">
        <f t="shared" si="83"/>
        <v>3171.3</v>
      </c>
      <c r="AL125" s="8">
        <f t="shared" si="83"/>
        <v>5586</v>
      </c>
      <c r="AM125" s="8">
        <f t="shared" si="66"/>
        <v>-340.19999999999982</v>
      </c>
      <c r="AN125" s="9">
        <f t="shared" si="67"/>
        <v>0.53513212513921238</v>
      </c>
      <c r="AO125" s="8">
        <f>SUBTOTAL(9,AO126:AO138)</f>
        <v>4057</v>
      </c>
      <c r="AP125" s="7"/>
      <c r="AQ125" s="10"/>
    </row>
    <row r="126" spans="1:43" outlineLevel="2" x14ac:dyDescent="0.45">
      <c r="A126" s="11" t="s">
        <v>444</v>
      </c>
      <c r="B126" s="11" t="s">
        <v>445</v>
      </c>
      <c r="C126" s="11" t="s">
        <v>94</v>
      </c>
      <c r="D126" s="11" t="s">
        <v>59</v>
      </c>
      <c r="E126" s="11" t="s">
        <v>66</v>
      </c>
      <c r="F126" s="11" t="s">
        <v>168</v>
      </c>
      <c r="G126" s="11" t="s">
        <v>90</v>
      </c>
      <c r="H126" s="12">
        <v>29.9</v>
      </c>
      <c r="I126" s="12">
        <v>27.1</v>
      </c>
      <c r="J126" s="12">
        <v>12.5</v>
      </c>
      <c r="K126" s="12">
        <v>27</v>
      </c>
      <c r="L126" s="12">
        <v>29.2</v>
      </c>
      <c r="M126" s="12">
        <v>29.6</v>
      </c>
      <c r="N126" s="12">
        <v>9</v>
      </c>
      <c r="O126" s="12">
        <v>15.3</v>
      </c>
      <c r="P126" s="12">
        <v>23.5</v>
      </c>
      <c r="Q126" s="12">
        <v>30</v>
      </c>
      <c r="R126" s="12">
        <v>11.9</v>
      </c>
      <c r="S126" s="12">
        <v>18.3</v>
      </c>
      <c r="T126" s="12">
        <f t="shared" ref="T126:T138" si="84">SUM(H126:J126)</f>
        <v>69.5</v>
      </c>
      <c r="U126" s="12">
        <f t="shared" ref="U126:U138" si="85">SUM(K126:M126)</f>
        <v>85.800000000000011</v>
      </c>
      <c r="V126" s="12">
        <f t="shared" ref="V126:V138" si="86">SUM(N126:P126)</f>
        <v>47.8</v>
      </c>
      <c r="W126" s="12">
        <f t="shared" ref="W126:W138" si="87">SUM(Q126:S126)</f>
        <v>60.2</v>
      </c>
      <c r="X126" s="12">
        <f t="shared" ref="X126:X138" si="88">SUM(T126:W126)</f>
        <v>263.3</v>
      </c>
      <c r="Y126" s="12">
        <v>31.2</v>
      </c>
      <c r="Z126" s="12">
        <v>18.600000000000001</v>
      </c>
      <c r="AA126" s="12">
        <v>9.1999999999999993</v>
      </c>
      <c r="AB126" s="12">
        <v>16.600000000000001</v>
      </c>
      <c r="AC126" s="12">
        <v>24.1</v>
      </c>
      <c r="AD126" s="12">
        <v>29.7</v>
      </c>
      <c r="AE126" s="12">
        <v>6.2</v>
      </c>
      <c r="AF126" s="12">
        <v>16</v>
      </c>
      <c r="AG126" s="12">
        <v>14.2</v>
      </c>
      <c r="AH126" s="12">
        <v>0</v>
      </c>
      <c r="AI126" s="12">
        <v>0</v>
      </c>
      <c r="AJ126" s="12">
        <v>0</v>
      </c>
      <c r="AK126" s="12">
        <f t="shared" ref="AK126:AK138" si="89">SUM(Y126:AJ126)</f>
        <v>165.79999999999995</v>
      </c>
      <c r="AL126" s="12">
        <v>222</v>
      </c>
      <c r="AM126" s="12">
        <f t="shared" si="66"/>
        <v>-41.300000000000011</v>
      </c>
      <c r="AN126" s="13">
        <f t="shared" si="67"/>
        <v>0.62969996202050871</v>
      </c>
      <c r="AO126" s="12">
        <v>179.1</v>
      </c>
      <c r="AP126" s="11" t="s">
        <v>446</v>
      </c>
      <c r="AQ126" s="14" t="s">
        <v>211</v>
      </c>
    </row>
    <row r="127" spans="1:43" outlineLevel="2" x14ac:dyDescent="0.45">
      <c r="A127" s="11" t="s">
        <v>447</v>
      </c>
      <c r="B127" s="11" t="s">
        <v>448</v>
      </c>
      <c r="C127" s="11" t="s">
        <v>134</v>
      </c>
      <c r="D127" s="11" t="s">
        <v>59</v>
      </c>
      <c r="E127" s="11" t="s">
        <v>72</v>
      </c>
      <c r="F127" s="11" t="s">
        <v>142</v>
      </c>
      <c r="G127" s="11" t="s">
        <v>62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f t="shared" si="84"/>
        <v>0</v>
      </c>
      <c r="U127" s="12">
        <f t="shared" si="85"/>
        <v>0</v>
      </c>
      <c r="V127" s="12">
        <f t="shared" si="86"/>
        <v>0</v>
      </c>
      <c r="W127" s="12">
        <f t="shared" si="87"/>
        <v>0</v>
      </c>
      <c r="X127" s="12">
        <f t="shared" si="88"/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f t="shared" si="89"/>
        <v>0</v>
      </c>
      <c r="AL127" s="12">
        <v>0</v>
      </c>
      <c r="AM127" s="12">
        <f t="shared" si="66"/>
        <v>0</v>
      </c>
      <c r="AN127" s="13">
        <f t="shared" si="67"/>
        <v>0</v>
      </c>
      <c r="AO127" s="12">
        <v>0</v>
      </c>
      <c r="AP127" s="11" t="s">
        <v>449</v>
      </c>
      <c r="AQ127" s="14" t="s">
        <v>154</v>
      </c>
    </row>
    <row r="128" spans="1:43" outlineLevel="2" x14ac:dyDescent="0.45">
      <c r="A128" s="11" t="s">
        <v>450</v>
      </c>
      <c r="B128" s="11" t="s">
        <v>451</v>
      </c>
      <c r="C128" s="11" t="s">
        <v>71</v>
      </c>
      <c r="D128" s="11" t="s">
        <v>59</v>
      </c>
      <c r="E128" s="11" t="s">
        <v>66</v>
      </c>
      <c r="F128" s="11" t="s">
        <v>100</v>
      </c>
      <c r="G128" s="11" t="s">
        <v>84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f t="shared" si="84"/>
        <v>0</v>
      </c>
      <c r="U128" s="12">
        <f t="shared" si="85"/>
        <v>0</v>
      </c>
      <c r="V128" s="12">
        <f t="shared" si="86"/>
        <v>0</v>
      </c>
      <c r="W128" s="12">
        <f t="shared" si="87"/>
        <v>0</v>
      </c>
      <c r="X128" s="12">
        <f t="shared" si="88"/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f t="shared" si="89"/>
        <v>0</v>
      </c>
      <c r="AL128" s="12">
        <v>0</v>
      </c>
      <c r="AM128" s="12">
        <f t="shared" si="66"/>
        <v>0</v>
      </c>
      <c r="AN128" s="13">
        <f t="shared" si="67"/>
        <v>0</v>
      </c>
      <c r="AO128" s="12">
        <v>0</v>
      </c>
      <c r="AP128" s="11" t="s">
        <v>452</v>
      </c>
      <c r="AQ128" s="14" t="s">
        <v>102</v>
      </c>
    </row>
    <row r="129" spans="1:43" ht="28.5" outlineLevel="2" x14ac:dyDescent="0.45">
      <c r="A129" s="11" t="s">
        <v>453</v>
      </c>
      <c r="B129" s="11" t="s">
        <v>454</v>
      </c>
      <c r="C129" s="11" t="s">
        <v>134</v>
      </c>
      <c r="D129" s="11" t="s">
        <v>59</v>
      </c>
      <c r="E129" s="11" t="s">
        <v>60</v>
      </c>
      <c r="F129" s="11" t="s">
        <v>61</v>
      </c>
      <c r="G129" s="11" t="s">
        <v>62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191.2</v>
      </c>
      <c r="N129" s="12">
        <v>188.4</v>
      </c>
      <c r="O129" s="12">
        <v>98.6</v>
      </c>
      <c r="P129" s="12">
        <v>140.30000000000001</v>
      </c>
      <c r="Q129" s="12">
        <v>238.9</v>
      </c>
      <c r="R129" s="12">
        <v>161.19999999999999</v>
      </c>
      <c r="S129" s="12">
        <v>224.3</v>
      </c>
      <c r="T129" s="12">
        <f t="shared" si="84"/>
        <v>0</v>
      </c>
      <c r="U129" s="12">
        <f t="shared" si="85"/>
        <v>191.2</v>
      </c>
      <c r="V129" s="12">
        <f t="shared" si="86"/>
        <v>427.3</v>
      </c>
      <c r="W129" s="12">
        <f t="shared" si="87"/>
        <v>624.40000000000009</v>
      </c>
      <c r="X129" s="12">
        <f t="shared" si="88"/>
        <v>1242.9000000000001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171.2</v>
      </c>
      <c r="AE129" s="12">
        <v>199</v>
      </c>
      <c r="AF129" s="12">
        <v>101.3</v>
      </c>
      <c r="AG129" s="12">
        <v>158.5</v>
      </c>
      <c r="AH129" s="12">
        <v>0</v>
      </c>
      <c r="AI129" s="12">
        <v>0</v>
      </c>
      <c r="AJ129" s="12">
        <v>0</v>
      </c>
      <c r="AK129" s="12">
        <f t="shared" si="89"/>
        <v>630</v>
      </c>
      <c r="AL129" s="12">
        <v>1207.2</v>
      </c>
      <c r="AM129" s="12">
        <f t="shared" si="66"/>
        <v>-35.700000000000045</v>
      </c>
      <c r="AN129" s="13">
        <f t="shared" si="67"/>
        <v>0.50687907313540914</v>
      </c>
      <c r="AO129" s="12">
        <v>297.39999999999998</v>
      </c>
      <c r="AP129" s="11" t="s">
        <v>455</v>
      </c>
      <c r="AQ129" s="14" t="s">
        <v>75</v>
      </c>
    </row>
    <row r="130" spans="1:43" outlineLevel="2" x14ac:dyDescent="0.45">
      <c r="A130" s="11" t="s">
        <v>456</v>
      </c>
      <c r="B130" s="11" t="s">
        <v>457</v>
      </c>
      <c r="C130" s="11" t="s">
        <v>88</v>
      </c>
      <c r="D130" s="11" t="s">
        <v>59</v>
      </c>
      <c r="E130" s="11" t="s">
        <v>72</v>
      </c>
      <c r="F130" s="11" t="s">
        <v>214</v>
      </c>
      <c r="G130" s="11" t="s">
        <v>62</v>
      </c>
      <c r="H130" s="12">
        <v>0</v>
      </c>
      <c r="I130" s="12">
        <v>0</v>
      </c>
      <c r="J130" s="12">
        <v>58.8</v>
      </c>
      <c r="K130" s="12">
        <v>62.1</v>
      </c>
      <c r="L130" s="12">
        <v>66.099999999999994</v>
      </c>
      <c r="M130" s="12">
        <v>23.3</v>
      </c>
      <c r="N130" s="12">
        <v>35.200000000000003</v>
      </c>
      <c r="O130" s="12">
        <v>67.099999999999994</v>
      </c>
      <c r="P130" s="12">
        <v>71.2</v>
      </c>
      <c r="Q130" s="12">
        <v>68.900000000000006</v>
      </c>
      <c r="R130" s="12">
        <v>19.600000000000001</v>
      </c>
      <c r="S130" s="12">
        <v>30.3</v>
      </c>
      <c r="T130" s="12">
        <f t="shared" si="84"/>
        <v>58.8</v>
      </c>
      <c r="U130" s="12">
        <f t="shared" si="85"/>
        <v>151.5</v>
      </c>
      <c r="V130" s="12">
        <f t="shared" si="86"/>
        <v>173.5</v>
      </c>
      <c r="W130" s="12">
        <f t="shared" si="87"/>
        <v>118.8</v>
      </c>
      <c r="X130" s="12">
        <f t="shared" si="88"/>
        <v>502.6</v>
      </c>
      <c r="Y130" s="12">
        <v>0</v>
      </c>
      <c r="Z130" s="12">
        <v>0</v>
      </c>
      <c r="AA130" s="12">
        <v>55.3</v>
      </c>
      <c r="AB130" s="12">
        <v>38.700000000000003</v>
      </c>
      <c r="AC130" s="12">
        <v>59.3</v>
      </c>
      <c r="AD130" s="12">
        <v>15.5</v>
      </c>
      <c r="AE130" s="12">
        <v>39.1</v>
      </c>
      <c r="AF130" s="12">
        <v>37.6</v>
      </c>
      <c r="AG130" s="12">
        <v>54.3</v>
      </c>
      <c r="AH130" s="12">
        <v>0</v>
      </c>
      <c r="AI130" s="12">
        <v>0</v>
      </c>
      <c r="AJ130" s="12">
        <v>0</v>
      </c>
      <c r="AK130" s="12">
        <f t="shared" si="89"/>
        <v>299.8</v>
      </c>
      <c r="AL130" s="12">
        <v>431.8</v>
      </c>
      <c r="AM130" s="12">
        <f t="shared" si="66"/>
        <v>-70.800000000000011</v>
      </c>
      <c r="AN130" s="13">
        <f t="shared" si="67"/>
        <v>0.59649820931157982</v>
      </c>
      <c r="AO130" s="12">
        <v>5.7</v>
      </c>
      <c r="AP130" s="11" t="s">
        <v>458</v>
      </c>
      <c r="AQ130" s="14"/>
    </row>
    <row r="131" spans="1:43" outlineLevel="2" x14ac:dyDescent="0.45">
      <c r="A131" s="11" t="s">
        <v>459</v>
      </c>
      <c r="B131" s="11" t="s">
        <v>460</v>
      </c>
      <c r="C131" s="11" t="s">
        <v>71</v>
      </c>
      <c r="D131" s="11" t="s">
        <v>59</v>
      </c>
      <c r="E131" s="11" t="s">
        <v>72</v>
      </c>
      <c r="F131" s="11" t="s">
        <v>285</v>
      </c>
      <c r="G131" s="11" t="s">
        <v>84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f t="shared" si="84"/>
        <v>0</v>
      </c>
      <c r="U131" s="12">
        <f t="shared" si="85"/>
        <v>0</v>
      </c>
      <c r="V131" s="12">
        <f t="shared" si="86"/>
        <v>0</v>
      </c>
      <c r="W131" s="12">
        <f t="shared" si="87"/>
        <v>0</v>
      </c>
      <c r="X131" s="12">
        <f t="shared" si="88"/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f t="shared" si="89"/>
        <v>0</v>
      </c>
      <c r="AL131" s="12">
        <v>0</v>
      </c>
      <c r="AM131" s="12">
        <f t="shared" si="66"/>
        <v>0</v>
      </c>
      <c r="AN131" s="13">
        <f t="shared" si="67"/>
        <v>0</v>
      </c>
      <c r="AO131" s="12">
        <v>0</v>
      </c>
      <c r="AP131" s="11" t="s">
        <v>461</v>
      </c>
      <c r="AQ131" s="14"/>
    </row>
    <row r="132" spans="1:43" outlineLevel="2" x14ac:dyDescent="0.45">
      <c r="A132" s="11" t="s">
        <v>462</v>
      </c>
      <c r="B132" s="11" t="s">
        <v>463</v>
      </c>
      <c r="C132" s="11" t="s">
        <v>94</v>
      </c>
      <c r="D132" s="11" t="s">
        <v>59</v>
      </c>
      <c r="E132" s="11" t="s">
        <v>60</v>
      </c>
      <c r="F132" s="11" t="s">
        <v>214</v>
      </c>
      <c r="G132" s="11" t="s">
        <v>90</v>
      </c>
      <c r="H132" s="12">
        <v>0</v>
      </c>
      <c r="I132" s="12">
        <v>0</v>
      </c>
      <c r="J132" s="12">
        <v>46.2</v>
      </c>
      <c r="K132" s="12">
        <v>58.1</v>
      </c>
      <c r="L132" s="12">
        <v>120.8</v>
      </c>
      <c r="M132" s="12">
        <v>41.9</v>
      </c>
      <c r="N132" s="12">
        <v>63.5</v>
      </c>
      <c r="O132" s="12">
        <v>91.3</v>
      </c>
      <c r="P132" s="12">
        <v>117.2</v>
      </c>
      <c r="Q132" s="12">
        <v>121</v>
      </c>
      <c r="R132" s="12">
        <v>142.5</v>
      </c>
      <c r="S132" s="12">
        <v>119.9</v>
      </c>
      <c r="T132" s="12">
        <f t="shared" si="84"/>
        <v>46.2</v>
      </c>
      <c r="U132" s="12">
        <f t="shared" si="85"/>
        <v>220.8</v>
      </c>
      <c r="V132" s="12">
        <f t="shared" si="86"/>
        <v>272</v>
      </c>
      <c r="W132" s="12">
        <f t="shared" si="87"/>
        <v>383.4</v>
      </c>
      <c r="X132" s="12">
        <f t="shared" si="88"/>
        <v>922.4</v>
      </c>
      <c r="Y132" s="12">
        <v>0</v>
      </c>
      <c r="Z132" s="12">
        <v>0</v>
      </c>
      <c r="AA132" s="12">
        <v>38.799999999999997</v>
      </c>
      <c r="AB132" s="12">
        <v>41.1</v>
      </c>
      <c r="AC132" s="12">
        <v>111.4</v>
      </c>
      <c r="AD132" s="12">
        <v>34.5</v>
      </c>
      <c r="AE132" s="12">
        <v>44.2</v>
      </c>
      <c r="AF132" s="12">
        <v>93.2</v>
      </c>
      <c r="AG132" s="12">
        <v>134</v>
      </c>
      <c r="AH132" s="12">
        <v>0</v>
      </c>
      <c r="AI132" s="12">
        <v>0</v>
      </c>
      <c r="AJ132" s="12">
        <v>0</v>
      </c>
      <c r="AK132" s="12">
        <f t="shared" si="89"/>
        <v>497.2</v>
      </c>
      <c r="AL132" s="12">
        <v>896.2</v>
      </c>
      <c r="AM132" s="12">
        <f t="shared" si="66"/>
        <v>-26.199999999999932</v>
      </c>
      <c r="AN132" s="13">
        <f t="shared" si="67"/>
        <v>0.53902862098872506</v>
      </c>
      <c r="AO132" s="12">
        <v>741.6</v>
      </c>
      <c r="AP132" s="11" t="s">
        <v>464</v>
      </c>
      <c r="AQ132" s="14"/>
    </row>
    <row r="133" spans="1:43" outlineLevel="2" x14ac:dyDescent="0.45">
      <c r="A133" s="11" t="s">
        <v>465</v>
      </c>
      <c r="B133" s="11" t="s">
        <v>466</v>
      </c>
      <c r="C133" s="11" t="s">
        <v>134</v>
      </c>
      <c r="D133" s="11" t="s">
        <v>59</v>
      </c>
      <c r="E133" s="11" t="s">
        <v>60</v>
      </c>
      <c r="F133" s="11" t="s">
        <v>176</v>
      </c>
      <c r="G133" s="11" t="s">
        <v>90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182.2</v>
      </c>
      <c r="N133" s="12">
        <v>175.9</v>
      </c>
      <c r="O133" s="12">
        <v>71.7</v>
      </c>
      <c r="P133" s="12">
        <v>147.5</v>
      </c>
      <c r="Q133" s="12">
        <v>69.5</v>
      </c>
      <c r="R133" s="12">
        <v>204.1</v>
      </c>
      <c r="S133" s="12">
        <v>195.2</v>
      </c>
      <c r="T133" s="12">
        <f t="shared" si="84"/>
        <v>0</v>
      </c>
      <c r="U133" s="12">
        <f t="shared" si="85"/>
        <v>182.2</v>
      </c>
      <c r="V133" s="12">
        <f t="shared" si="86"/>
        <v>395.1</v>
      </c>
      <c r="W133" s="12">
        <f t="shared" si="87"/>
        <v>468.8</v>
      </c>
      <c r="X133" s="12">
        <f t="shared" si="88"/>
        <v>1046.0999999999999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192.7</v>
      </c>
      <c r="AE133" s="12">
        <v>99.6</v>
      </c>
      <c r="AF133" s="12">
        <v>73</v>
      </c>
      <c r="AG133" s="12">
        <v>158.9</v>
      </c>
      <c r="AH133" s="12">
        <v>0</v>
      </c>
      <c r="AI133" s="12">
        <v>0</v>
      </c>
      <c r="AJ133" s="12">
        <v>0</v>
      </c>
      <c r="AK133" s="12">
        <f t="shared" si="89"/>
        <v>524.19999999999993</v>
      </c>
      <c r="AL133" s="12">
        <v>1052.2</v>
      </c>
      <c r="AM133" s="12">
        <f t="shared" si="66"/>
        <v>6.1000000000001364</v>
      </c>
      <c r="AN133" s="13">
        <f t="shared" si="67"/>
        <v>0.50109932128859569</v>
      </c>
      <c r="AO133" s="12">
        <v>1518.9</v>
      </c>
      <c r="AP133" s="11" t="s">
        <v>467</v>
      </c>
      <c r="AQ133" s="14" t="s">
        <v>211</v>
      </c>
    </row>
    <row r="134" spans="1:43" outlineLevel="2" x14ac:dyDescent="0.45">
      <c r="A134" s="11" t="s">
        <v>468</v>
      </c>
      <c r="B134" s="11" t="s">
        <v>469</v>
      </c>
      <c r="C134" s="11" t="s">
        <v>88</v>
      </c>
      <c r="D134" s="11" t="s">
        <v>59</v>
      </c>
      <c r="E134" s="11" t="s">
        <v>60</v>
      </c>
      <c r="F134" s="11" t="s">
        <v>246</v>
      </c>
      <c r="G134" s="11" t="s">
        <v>62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f t="shared" si="84"/>
        <v>0</v>
      </c>
      <c r="U134" s="12">
        <f t="shared" si="85"/>
        <v>0</v>
      </c>
      <c r="V134" s="12">
        <f t="shared" si="86"/>
        <v>0</v>
      </c>
      <c r="W134" s="12">
        <f t="shared" si="87"/>
        <v>0</v>
      </c>
      <c r="X134" s="12">
        <f t="shared" si="88"/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f t="shared" si="89"/>
        <v>0</v>
      </c>
      <c r="AL134" s="12">
        <v>0</v>
      </c>
      <c r="AM134" s="12">
        <f t="shared" ref="AM134:AM165" si="90">AL134-X134</f>
        <v>0</v>
      </c>
      <c r="AN134" s="13">
        <f t="shared" ref="AN134:AN169" si="91">IF(X134=0,0,AK134/X134)</f>
        <v>0</v>
      </c>
      <c r="AO134" s="12">
        <v>0</v>
      </c>
      <c r="AP134" s="11" t="s">
        <v>470</v>
      </c>
      <c r="AQ134" s="14" t="s">
        <v>154</v>
      </c>
    </row>
    <row r="135" spans="1:43" outlineLevel="2" x14ac:dyDescent="0.45">
      <c r="A135" s="11" t="s">
        <v>471</v>
      </c>
      <c r="B135" s="11" t="s">
        <v>472</v>
      </c>
      <c r="C135" s="11" t="s">
        <v>134</v>
      </c>
      <c r="D135" s="11" t="s">
        <v>59</v>
      </c>
      <c r="E135" s="11" t="s">
        <v>66</v>
      </c>
      <c r="F135" s="11" t="s">
        <v>83</v>
      </c>
      <c r="G135" s="11" t="s">
        <v>95</v>
      </c>
      <c r="H135" s="12">
        <v>0</v>
      </c>
      <c r="I135" s="12">
        <v>0</v>
      </c>
      <c r="J135" s="12">
        <v>0</v>
      </c>
      <c r="K135" s="12">
        <v>0</v>
      </c>
      <c r="L135" s="12">
        <v>131.80000000000001</v>
      </c>
      <c r="M135" s="12">
        <v>130.19999999999999</v>
      </c>
      <c r="N135" s="12">
        <v>116</v>
      </c>
      <c r="O135" s="12">
        <v>57.9</v>
      </c>
      <c r="P135" s="12">
        <v>69.400000000000006</v>
      </c>
      <c r="Q135" s="12">
        <v>112.6</v>
      </c>
      <c r="R135" s="12">
        <v>40.799999999999997</v>
      </c>
      <c r="S135" s="12">
        <v>132.6</v>
      </c>
      <c r="T135" s="12">
        <f t="shared" si="84"/>
        <v>0</v>
      </c>
      <c r="U135" s="12">
        <f t="shared" si="85"/>
        <v>262</v>
      </c>
      <c r="V135" s="12">
        <f t="shared" si="86"/>
        <v>243.3</v>
      </c>
      <c r="W135" s="12">
        <f t="shared" si="87"/>
        <v>286</v>
      </c>
      <c r="X135" s="12">
        <f t="shared" si="88"/>
        <v>791.3</v>
      </c>
      <c r="Y135" s="12">
        <v>0</v>
      </c>
      <c r="Z135" s="12">
        <v>0</v>
      </c>
      <c r="AA135" s="12">
        <v>0</v>
      </c>
      <c r="AB135" s="12">
        <v>0</v>
      </c>
      <c r="AC135" s="12">
        <v>120.8</v>
      </c>
      <c r="AD135" s="12">
        <v>117.6</v>
      </c>
      <c r="AE135" s="12">
        <v>66.900000000000006</v>
      </c>
      <c r="AF135" s="12">
        <v>60.7</v>
      </c>
      <c r="AG135" s="12">
        <v>74.900000000000006</v>
      </c>
      <c r="AH135" s="12">
        <v>0</v>
      </c>
      <c r="AI135" s="12">
        <v>0</v>
      </c>
      <c r="AJ135" s="12">
        <v>0</v>
      </c>
      <c r="AK135" s="12">
        <f t="shared" si="89"/>
        <v>440.9</v>
      </c>
      <c r="AL135" s="12">
        <v>736.1</v>
      </c>
      <c r="AM135" s="12">
        <f t="shared" si="90"/>
        <v>-55.199999999999932</v>
      </c>
      <c r="AN135" s="13">
        <f t="shared" si="91"/>
        <v>0.55718438013395677</v>
      </c>
      <c r="AO135" s="12">
        <v>592.9</v>
      </c>
      <c r="AP135" s="11" t="s">
        <v>473</v>
      </c>
      <c r="AQ135" s="14"/>
    </row>
    <row r="136" spans="1:43" hidden="1" outlineLevel="2" x14ac:dyDescent="0.45">
      <c r="A136" s="11" t="s">
        <v>474</v>
      </c>
      <c r="B136" s="11" t="s">
        <v>475</v>
      </c>
      <c r="C136" s="11" t="s">
        <v>94</v>
      </c>
      <c r="D136" s="11" t="s">
        <v>59</v>
      </c>
      <c r="E136" s="11" t="s">
        <v>72</v>
      </c>
      <c r="F136" s="11" t="s">
        <v>61</v>
      </c>
      <c r="G136" s="11" t="s">
        <v>84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f t="shared" si="84"/>
        <v>0</v>
      </c>
      <c r="U136" s="12">
        <f t="shared" si="85"/>
        <v>0</v>
      </c>
      <c r="V136" s="12">
        <f t="shared" si="86"/>
        <v>0</v>
      </c>
      <c r="W136" s="12">
        <f t="shared" si="87"/>
        <v>0</v>
      </c>
      <c r="X136" s="12">
        <f t="shared" si="88"/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f t="shared" si="89"/>
        <v>0</v>
      </c>
      <c r="AL136" s="12">
        <v>0</v>
      </c>
      <c r="AM136" s="12">
        <f t="shared" si="90"/>
        <v>0</v>
      </c>
      <c r="AN136" s="13">
        <f t="shared" si="91"/>
        <v>0</v>
      </c>
      <c r="AO136" s="12">
        <v>183.6</v>
      </c>
      <c r="AP136" s="11" t="s">
        <v>476</v>
      </c>
      <c r="AQ136" s="14" t="s">
        <v>147</v>
      </c>
    </row>
    <row r="137" spans="1:43" outlineLevel="2" x14ac:dyDescent="0.45">
      <c r="A137" s="11" t="s">
        <v>477</v>
      </c>
      <c r="B137" s="11" t="s">
        <v>478</v>
      </c>
      <c r="C137" s="11" t="s">
        <v>88</v>
      </c>
      <c r="D137" s="11" t="s">
        <v>59</v>
      </c>
      <c r="E137" s="11" t="s">
        <v>72</v>
      </c>
      <c r="F137" s="11" t="s">
        <v>172</v>
      </c>
      <c r="G137" s="11" t="s">
        <v>95</v>
      </c>
      <c r="H137" s="12">
        <v>0</v>
      </c>
      <c r="I137" s="12">
        <v>29.3</v>
      </c>
      <c r="J137" s="12">
        <v>17.8</v>
      </c>
      <c r="K137" s="12">
        <v>11.4</v>
      </c>
      <c r="L137" s="12">
        <v>8.1999999999999993</v>
      </c>
      <c r="M137" s="12">
        <v>17.8</v>
      </c>
      <c r="N137" s="12">
        <v>16.600000000000001</v>
      </c>
      <c r="O137" s="12">
        <v>25.5</v>
      </c>
      <c r="P137" s="12">
        <v>24.5</v>
      </c>
      <c r="Q137" s="12">
        <v>13.1</v>
      </c>
      <c r="R137" s="12">
        <v>9.5</v>
      </c>
      <c r="S137" s="12">
        <v>22.7</v>
      </c>
      <c r="T137" s="12">
        <f t="shared" si="84"/>
        <v>47.1</v>
      </c>
      <c r="U137" s="12">
        <f t="shared" si="85"/>
        <v>37.400000000000006</v>
      </c>
      <c r="V137" s="12">
        <f t="shared" si="86"/>
        <v>66.599999999999994</v>
      </c>
      <c r="W137" s="12">
        <f t="shared" si="87"/>
        <v>45.3</v>
      </c>
      <c r="X137" s="12">
        <f t="shared" si="88"/>
        <v>196.39999999999998</v>
      </c>
      <c r="Y137" s="12">
        <v>0</v>
      </c>
      <c r="Z137" s="12">
        <v>21.9</v>
      </c>
      <c r="AA137" s="12">
        <v>13.3</v>
      </c>
      <c r="AB137" s="12">
        <v>9.6</v>
      </c>
      <c r="AC137" s="12">
        <v>9.1999999999999993</v>
      </c>
      <c r="AD137" s="12">
        <v>17.600000000000001</v>
      </c>
      <c r="AE137" s="12">
        <v>18.2</v>
      </c>
      <c r="AF137" s="12">
        <v>29</v>
      </c>
      <c r="AG137" s="12">
        <v>24.3</v>
      </c>
      <c r="AH137" s="12">
        <v>0</v>
      </c>
      <c r="AI137" s="12">
        <v>0</v>
      </c>
      <c r="AJ137" s="12">
        <v>0</v>
      </c>
      <c r="AK137" s="12">
        <f t="shared" si="89"/>
        <v>143.1</v>
      </c>
      <c r="AL137" s="12">
        <v>187.8</v>
      </c>
      <c r="AM137" s="12">
        <f t="shared" si="90"/>
        <v>-8.5999999999999659</v>
      </c>
      <c r="AN137" s="13">
        <f t="shared" si="91"/>
        <v>0.72861507128309577</v>
      </c>
      <c r="AO137" s="12">
        <v>166</v>
      </c>
      <c r="AP137" s="11" t="s">
        <v>479</v>
      </c>
      <c r="AQ137" s="14"/>
    </row>
    <row r="138" spans="1:43" ht="28.5" outlineLevel="2" x14ac:dyDescent="0.45">
      <c r="A138" s="11" t="s">
        <v>480</v>
      </c>
      <c r="B138" s="11" t="s">
        <v>481</v>
      </c>
      <c r="C138" s="11" t="s">
        <v>94</v>
      </c>
      <c r="D138" s="11" t="s">
        <v>59</v>
      </c>
      <c r="E138" s="11" t="s">
        <v>72</v>
      </c>
      <c r="F138" s="11" t="s">
        <v>61</v>
      </c>
      <c r="G138" s="11" t="s">
        <v>84</v>
      </c>
      <c r="H138" s="12">
        <v>0</v>
      </c>
      <c r="I138" s="12">
        <v>0</v>
      </c>
      <c r="J138" s="12">
        <v>0</v>
      </c>
      <c r="K138" s="12">
        <v>136.30000000000001</v>
      </c>
      <c r="L138" s="12">
        <v>87.5</v>
      </c>
      <c r="M138" s="12">
        <v>127.9</v>
      </c>
      <c r="N138" s="12">
        <v>92.9</v>
      </c>
      <c r="O138" s="12">
        <v>68.900000000000006</v>
      </c>
      <c r="P138" s="12">
        <v>91.3</v>
      </c>
      <c r="Q138" s="12">
        <v>116</v>
      </c>
      <c r="R138" s="12">
        <v>125.8</v>
      </c>
      <c r="S138" s="12">
        <v>114.6</v>
      </c>
      <c r="T138" s="12">
        <f t="shared" si="84"/>
        <v>0</v>
      </c>
      <c r="U138" s="12">
        <f t="shared" si="85"/>
        <v>351.70000000000005</v>
      </c>
      <c r="V138" s="12">
        <f t="shared" si="86"/>
        <v>253.10000000000002</v>
      </c>
      <c r="W138" s="12">
        <f t="shared" si="87"/>
        <v>356.4</v>
      </c>
      <c r="X138" s="12">
        <f t="shared" si="88"/>
        <v>961.2</v>
      </c>
      <c r="Y138" s="12">
        <v>0</v>
      </c>
      <c r="Z138" s="12">
        <v>0</v>
      </c>
      <c r="AA138" s="12">
        <v>0</v>
      </c>
      <c r="AB138" s="12">
        <v>79.5</v>
      </c>
      <c r="AC138" s="12">
        <v>55.9</v>
      </c>
      <c r="AD138" s="12">
        <v>109.1</v>
      </c>
      <c r="AE138" s="12">
        <v>60.1</v>
      </c>
      <c r="AF138" s="12">
        <v>62</v>
      </c>
      <c r="AG138" s="12">
        <v>103.7</v>
      </c>
      <c r="AH138" s="12">
        <v>0</v>
      </c>
      <c r="AI138" s="12">
        <v>0</v>
      </c>
      <c r="AJ138" s="12">
        <v>0</v>
      </c>
      <c r="AK138" s="12">
        <f t="shared" si="89"/>
        <v>470.3</v>
      </c>
      <c r="AL138" s="12">
        <v>852.7</v>
      </c>
      <c r="AM138" s="12">
        <f t="shared" si="90"/>
        <v>-108.5</v>
      </c>
      <c r="AN138" s="13">
        <f t="shared" si="91"/>
        <v>0.48928422804827298</v>
      </c>
      <c r="AO138" s="12">
        <v>371.8</v>
      </c>
      <c r="AP138" s="11" t="s">
        <v>482</v>
      </c>
      <c r="AQ138" s="14" t="s">
        <v>75</v>
      </c>
    </row>
    <row r="139" spans="1:43" outlineLevel="1" x14ac:dyDescent="0.45">
      <c r="A139" s="7" t="s">
        <v>483</v>
      </c>
      <c r="B139" s="7" t="s">
        <v>484</v>
      </c>
      <c r="C139" s="7"/>
      <c r="D139" s="7"/>
      <c r="E139" s="7"/>
      <c r="F139" s="7"/>
      <c r="G139" s="7"/>
      <c r="H139" s="8">
        <f t="shared" ref="H139:AL139" si="92">SUBTOTAL(9,H140:H149)</f>
        <v>15.5</v>
      </c>
      <c r="I139" s="8">
        <f t="shared" si="92"/>
        <v>152.80000000000001</v>
      </c>
      <c r="J139" s="8">
        <f t="shared" si="92"/>
        <v>136.30000000000001</v>
      </c>
      <c r="K139" s="8">
        <f t="shared" si="92"/>
        <v>99.100000000000009</v>
      </c>
      <c r="L139" s="8">
        <f t="shared" si="92"/>
        <v>357</v>
      </c>
      <c r="M139" s="8">
        <f t="shared" si="92"/>
        <v>349.1</v>
      </c>
      <c r="N139" s="8">
        <f t="shared" si="92"/>
        <v>259.7</v>
      </c>
      <c r="O139" s="8">
        <f t="shared" si="92"/>
        <v>410.59999999999997</v>
      </c>
      <c r="P139" s="8">
        <f t="shared" si="92"/>
        <v>472.6</v>
      </c>
      <c r="Q139" s="8">
        <f t="shared" si="92"/>
        <v>277.7</v>
      </c>
      <c r="R139" s="8">
        <f t="shared" si="92"/>
        <v>387.2</v>
      </c>
      <c r="S139" s="8">
        <f t="shared" si="92"/>
        <v>332.1</v>
      </c>
      <c r="T139" s="8">
        <f t="shared" si="92"/>
        <v>304.60000000000002</v>
      </c>
      <c r="U139" s="8">
        <f t="shared" si="92"/>
        <v>805.2</v>
      </c>
      <c r="V139" s="8">
        <f t="shared" si="92"/>
        <v>1142.8999999999999</v>
      </c>
      <c r="W139" s="8">
        <f t="shared" si="92"/>
        <v>997</v>
      </c>
      <c r="X139" s="8">
        <f t="shared" si="92"/>
        <v>3249.7</v>
      </c>
      <c r="Y139" s="8">
        <f t="shared" si="92"/>
        <v>12</v>
      </c>
      <c r="Z139" s="8">
        <f t="shared" si="92"/>
        <v>162.30000000000001</v>
      </c>
      <c r="AA139" s="8">
        <f t="shared" si="92"/>
        <v>102.8</v>
      </c>
      <c r="AB139" s="8">
        <f t="shared" si="92"/>
        <v>88.399999999999991</v>
      </c>
      <c r="AC139" s="8">
        <f t="shared" si="92"/>
        <v>317.7</v>
      </c>
      <c r="AD139" s="8">
        <f t="shared" si="92"/>
        <v>241.5</v>
      </c>
      <c r="AE139" s="8">
        <f t="shared" si="92"/>
        <v>267.5</v>
      </c>
      <c r="AF139" s="8">
        <f t="shared" si="92"/>
        <v>270.2</v>
      </c>
      <c r="AG139" s="8">
        <f t="shared" si="92"/>
        <v>447.09999999999991</v>
      </c>
      <c r="AH139" s="8">
        <f t="shared" si="92"/>
        <v>0</v>
      </c>
      <c r="AI139" s="8">
        <f t="shared" si="92"/>
        <v>0</v>
      </c>
      <c r="AJ139" s="8">
        <f t="shared" si="92"/>
        <v>0</v>
      </c>
      <c r="AK139" s="8">
        <f t="shared" si="92"/>
        <v>1909.5</v>
      </c>
      <c r="AL139" s="8">
        <f t="shared" si="92"/>
        <v>2834.5</v>
      </c>
      <c r="AM139" s="8">
        <f t="shared" si="90"/>
        <v>-415.19999999999982</v>
      </c>
      <c r="AN139" s="9">
        <f t="shared" si="91"/>
        <v>0.58759270086469528</v>
      </c>
      <c r="AO139" s="8">
        <f>SUBTOTAL(9,AO140:AO149)</f>
        <v>1807.1</v>
      </c>
      <c r="AP139" s="7"/>
      <c r="AQ139" s="10"/>
    </row>
    <row r="140" spans="1:43" hidden="1" outlineLevel="2" x14ac:dyDescent="0.45">
      <c r="A140" s="11" t="s">
        <v>485</v>
      </c>
      <c r="B140" s="11" t="s">
        <v>486</v>
      </c>
      <c r="C140" s="11" t="s">
        <v>71</v>
      </c>
      <c r="D140" s="11" t="s">
        <v>59</v>
      </c>
      <c r="E140" s="11" t="s">
        <v>72</v>
      </c>
      <c r="F140" s="11" t="s">
        <v>246</v>
      </c>
      <c r="G140" s="11" t="s">
        <v>84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f t="shared" ref="T140:T149" si="93">SUM(H140:J140)</f>
        <v>0</v>
      </c>
      <c r="U140" s="12">
        <f t="shared" ref="U140:U149" si="94">SUM(K140:M140)</f>
        <v>0</v>
      </c>
      <c r="V140" s="12">
        <f t="shared" ref="V140:V149" si="95">SUM(N140:P140)</f>
        <v>0</v>
      </c>
      <c r="W140" s="12">
        <f t="shared" ref="W140:W149" si="96">SUM(Q140:S140)</f>
        <v>0</v>
      </c>
      <c r="X140" s="12">
        <f t="shared" ref="X140:X149" si="97">SUM(T140:W140)</f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f t="shared" ref="AK140:AK149" si="98">SUM(Y140:AJ140)</f>
        <v>0</v>
      </c>
      <c r="AL140" s="12">
        <v>0</v>
      </c>
      <c r="AM140" s="12">
        <f t="shared" si="90"/>
        <v>0</v>
      </c>
      <c r="AN140" s="13">
        <f t="shared" si="91"/>
        <v>0</v>
      </c>
      <c r="AO140" s="12">
        <v>227</v>
      </c>
      <c r="AP140" s="11" t="s">
        <v>487</v>
      </c>
      <c r="AQ140" s="14" t="s">
        <v>147</v>
      </c>
    </row>
    <row r="141" spans="1:43" outlineLevel="2" x14ac:dyDescent="0.45">
      <c r="A141" s="11" t="s">
        <v>488</v>
      </c>
      <c r="B141" s="11" t="s">
        <v>489</v>
      </c>
      <c r="C141" s="11" t="s">
        <v>134</v>
      </c>
      <c r="D141" s="11" t="s">
        <v>59</v>
      </c>
      <c r="E141" s="11" t="s">
        <v>72</v>
      </c>
      <c r="F141" s="11" t="s">
        <v>246</v>
      </c>
      <c r="G141" s="11" t="s">
        <v>90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f t="shared" si="93"/>
        <v>0</v>
      </c>
      <c r="U141" s="12">
        <f t="shared" si="94"/>
        <v>0</v>
      </c>
      <c r="V141" s="12">
        <f t="shared" si="95"/>
        <v>0</v>
      </c>
      <c r="W141" s="12">
        <f t="shared" si="96"/>
        <v>0</v>
      </c>
      <c r="X141" s="12">
        <f t="shared" si="97"/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f t="shared" si="98"/>
        <v>0</v>
      </c>
      <c r="AL141" s="12">
        <v>0</v>
      </c>
      <c r="AM141" s="12">
        <f t="shared" si="90"/>
        <v>0</v>
      </c>
      <c r="AN141" s="13">
        <f t="shared" si="91"/>
        <v>0</v>
      </c>
      <c r="AO141" s="12">
        <v>0</v>
      </c>
      <c r="AP141" s="11" t="s">
        <v>490</v>
      </c>
      <c r="AQ141" s="14"/>
    </row>
    <row r="142" spans="1:43" ht="28.5" outlineLevel="2" x14ac:dyDescent="0.45">
      <c r="A142" s="11" t="s">
        <v>491</v>
      </c>
      <c r="B142" s="11" t="s">
        <v>492</v>
      </c>
      <c r="C142" s="11" t="s">
        <v>71</v>
      </c>
      <c r="D142" s="11" t="s">
        <v>59</v>
      </c>
      <c r="E142" s="11" t="s">
        <v>66</v>
      </c>
      <c r="F142" s="11" t="s">
        <v>83</v>
      </c>
      <c r="G142" s="11" t="s">
        <v>95</v>
      </c>
      <c r="H142" s="12">
        <v>0</v>
      </c>
      <c r="I142" s="12">
        <v>0</v>
      </c>
      <c r="J142" s="12">
        <v>0</v>
      </c>
      <c r="K142" s="12">
        <v>0</v>
      </c>
      <c r="L142" s="12">
        <v>116.3</v>
      </c>
      <c r="M142" s="12">
        <v>192.8</v>
      </c>
      <c r="N142" s="12">
        <v>72.099999999999994</v>
      </c>
      <c r="O142" s="12">
        <v>208.2</v>
      </c>
      <c r="P142" s="12">
        <v>239.3</v>
      </c>
      <c r="Q142" s="12">
        <v>81.900000000000006</v>
      </c>
      <c r="R142" s="12">
        <v>149.19999999999999</v>
      </c>
      <c r="S142" s="12">
        <v>151.9</v>
      </c>
      <c r="T142" s="12">
        <f t="shared" si="93"/>
        <v>0</v>
      </c>
      <c r="U142" s="12">
        <f t="shared" si="94"/>
        <v>309.10000000000002</v>
      </c>
      <c r="V142" s="12">
        <f t="shared" si="95"/>
        <v>519.59999999999991</v>
      </c>
      <c r="W142" s="12">
        <f t="shared" si="96"/>
        <v>383</v>
      </c>
      <c r="X142" s="12">
        <f t="shared" si="97"/>
        <v>1211.6999999999998</v>
      </c>
      <c r="Y142" s="12">
        <v>0</v>
      </c>
      <c r="Z142" s="12">
        <v>0</v>
      </c>
      <c r="AA142" s="12">
        <v>0</v>
      </c>
      <c r="AB142" s="12">
        <v>0</v>
      </c>
      <c r="AC142" s="12">
        <v>95.2</v>
      </c>
      <c r="AD142" s="12">
        <v>137.6</v>
      </c>
      <c r="AE142" s="12">
        <v>78.900000000000006</v>
      </c>
      <c r="AF142" s="12">
        <v>124.7</v>
      </c>
      <c r="AG142" s="12">
        <v>239.2</v>
      </c>
      <c r="AH142" s="12">
        <v>0</v>
      </c>
      <c r="AI142" s="12">
        <v>0</v>
      </c>
      <c r="AJ142" s="12">
        <v>0</v>
      </c>
      <c r="AK142" s="12">
        <f t="shared" si="98"/>
        <v>675.6</v>
      </c>
      <c r="AL142" s="12">
        <v>1043.5</v>
      </c>
      <c r="AM142" s="12">
        <f t="shared" si="90"/>
        <v>-168.19999999999982</v>
      </c>
      <c r="AN142" s="13">
        <f t="shared" si="91"/>
        <v>0.55756375340430808</v>
      </c>
      <c r="AO142" s="12">
        <v>499.5</v>
      </c>
      <c r="AP142" s="11" t="s">
        <v>493</v>
      </c>
      <c r="AQ142" s="14" t="s">
        <v>97</v>
      </c>
    </row>
    <row r="143" spans="1:43" outlineLevel="2" x14ac:dyDescent="0.45">
      <c r="A143" s="11" t="s">
        <v>494</v>
      </c>
      <c r="B143" s="11" t="s">
        <v>495</v>
      </c>
      <c r="C143" s="11" t="s">
        <v>134</v>
      </c>
      <c r="D143" s="11" t="s">
        <v>59</v>
      </c>
      <c r="E143" s="11" t="s">
        <v>72</v>
      </c>
      <c r="F143" s="11" t="s">
        <v>73</v>
      </c>
      <c r="G143" s="11" t="s">
        <v>62</v>
      </c>
      <c r="H143" s="12">
        <v>0</v>
      </c>
      <c r="I143" s="12">
        <v>22.6</v>
      </c>
      <c r="J143" s="12">
        <v>29</v>
      </c>
      <c r="K143" s="12">
        <v>23</v>
      </c>
      <c r="L143" s="12">
        <v>24</v>
      </c>
      <c r="M143" s="12">
        <v>11.4</v>
      </c>
      <c r="N143" s="12">
        <v>13.2</v>
      </c>
      <c r="O143" s="12">
        <v>19.8</v>
      </c>
      <c r="P143" s="12">
        <v>24.2</v>
      </c>
      <c r="Q143" s="12">
        <v>28.8</v>
      </c>
      <c r="R143" s="12">
        <v>29.9</v>
      </c>
      <c r="S143" s="12">
        <v>22.4</v>
      </c>
      <c r="T143" s="12">
        <f t="shared" si="93"/>
        <v>51.6</v>
      </c>
      <c r="U143" s="12">
        <f t="shared" si="94"/>
        <v>58.4</v>
      </c>
      <c r="V143" s="12">
        <f t="shared" si="95"/>
        <v>57.2</v>
      </c>
      <c r="W143" s="12">
        <f t="shared" si="96"/>
        <v>81.099999999999994</v>
      </c>
      <c r="X143" s="12">
        <f t="shared" si="97"/>
        <v>248.29999999999998</v>
      </c>
      <c r="Y143" s="12">
        <v>0</v>
      </c>
      <c r="Z143" s="12">
        <v>25.9</v>
      </c>
      <c r="AA143" s="12">
        <v>17.5</v>
      </c>
      <c r="AB143" s="12">
        <v>14.1</v>
      </c>
      <c r="AC143" s="12">
        <v>27.4</v>
      </c>
      <c r="AD143" s="12">
        <v>8.8000000000000007</v>
      </c>
      <c r="AE143" s="12">
        <v>9</v>
      </c>
      <c r="AF143" s="12">
        <v>15.1</v>
      </c>
      <c r="AG143" s="12">
        <v>23.4</v>
      </c>
      <c r="AH143" s="12">
        <v>0</v>
      </c>
      <c r="AI143" s="12">
        <v>0</v>
      </c>
      <c r="AJ143" s="12">
        <v>0</v>
      </c>
      <c r="AK143" s="12">
        <f t="shared" si="98"/>
        <v>141.19999999999999</v>
      </c>
      <c r="AL143" s="12">
        <v>235.3</v>
      </c>
      <c r="AM143" s="12">
        <f t="shared" si="90"/>
        <v>-12.999999999999972</v>
      </c>
      <c r="AN143" s="13">
        <f t="shared" si="91"/>
        <v>0.56866693515908173</v>
      </c>
      <c r="AO143" s="12">
        <v>37.700000000000003</v>
      </c>
      <c r="AP143" s="11" t="s">
        <v>496</v>
      </c>
      <c r="AQ143" s="14"/>
    </row>
    <row r="144" spans="1:43" hidden="1" outlineLevel="2" x14ac:dyDescent="0.45">
      <c r="A144" s="11" t="s">
        <v>497</v>
      </c>
      <c r="B144" s="11" t="s">
        <v>498</v>
      </c>
      <c r="C144" s="11" t="s">
        <v>94</v>
      </c>
      <c r="D144" s="11" t="s">
        <v>59</v>
      </c>
      <c r="E144" s="11" t="s">
        <v>66</v>
      </c>
      <c r="F144" s="11" t="s">
        <v>285</v>
      </c>
      <c r="G144" s="11" t="s">
        <v>84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f t="shared" si="93"/>
        <v>0</v>
      </c>
      <c r="U144" s="12">
        <f t="shared" si="94"/>
        <v>0</v>
      </c>
      <c r="V144" s="12">
        <f t="shared" si="95"/>
        <v>0</v>
      </c>
      <c r="W144" s="12">
        <f t="shared" si="96"/>
        <v>0</v>
      </c>
      <c r="X144" s="12">
        <f t="shared" si="97"/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f t="shared" si="98"/>
        <v>0</v>
      </c>
      <c r="AL144" s="12">
        <v>0</v>
      </c>
      <c r="AM144" s="12">
        <f t="shared" si="90"/>
        <v>0</v>
      </c>
      <c r="AN144" s="13">
        <f t="shared" si="91"/>
        <v>0</v>
      </c>
      <c r="AO144" s="12">
        <v>253.4</v>
      </c>
      <c r="AP144" s="11" t="s">
        <v>499</v>
      </c>
      <c r="AQ144" s="14" t="s">
        <v>147</v>
      </c>
    </row>
    <row r="145" spans="1:43" outlineLevel="2" x14ac:dyDescent="0.45">
      <c r="A145" s="11" t="s">
        <v>500</v>
      </c>
      <c r="B145" s="11" t="s">
        <v>501</v>
      </c>
      <c r="C145" s="11" t="s">
        <v>94</v>
      </c>
      <c r="D145" s="11" t="s">
        <v>59</v>
      </c>
      <c r="E145" s="11" t="s">
        <v>72</v>
      </c>
      <c r="F145" s="11" t="s">
        <v>105</v>
      </c>
      <c r="G145" s="11" t="s">
        <v>95</v>
      </c>
      <c r="H145" s="12">
        <v>15.5</v>
      </c>
      <c r="I145" s="12">
        <v>17.2</v>
      </c>
      <c r="J145" s="12">
        <v>10.9</v>
      </c>
      <c r="K145" s="12">
        <v>11.7</v>
      </c>
      <c r="L145" s="12">
        <v>9.9</v>
      </c>
      <c r="M145" s="12">
        <v>12.4</v>
      </c>
      <c r="N145" s="12">
        <v>28</v>
      </c>
      <c r="O145" s="12">
        <v>22.2</v>
      </c>
      <c r="P145" s="12">
        <v>16.600000000000001</v>
      </c>
      <c r="Q145" s="12">
        <v>15</v>
      </c>
      <c r="R145" s="12">
        <v>20.100000000000001</v>
      </c>
      <c r="S145" s="12">
        <v>25.9</v>
      </c>
      <c r="T145" s="12">
        <f t="shared" si="93"/>
        <v>43.6</v>
      </c>
      <c r="U145" s="12">
        <f t="shared" si="94"/>
        <v>34</v>
      </c>
      <c r="V145" s="12">
        <f t="shared" si="95"/>
        <v>66.800000000000011</v>
      </c>
      <c r="W145" s="12">
        <f t="shared" si="96"/>
        <v>61</v>
      </c>
      <c r="X145" s="12">
        <f t="shared" si="97"/>
        <v>205.4</v>
      </c>
      <c r="Y145" s="12">
        <v>12</v>
      </c>
      <c r="Z145" s="12">
        <v>12.2</v>
      </c>
      <c r="AA145" s="12">
        <v>8.5</v>
      </c>
      <c r="AB145" s="12">
        <v>6.7</v>
      </c>
      <c r="AC145" s="12">
        <v>9.1999999999999993</v>
      </c>
      <c r="AD145" s="12">
        <v>11.4</v>
      </c>
      <c r="AE145" s="12">
        <v>27.5</v>
      </c>
      <c r="AF145" s="12">
        <v>23.4</v>
      </c>
      <c r="AG145" s="12">
        <v>11.9</v>
      </c>
      <c r="AH145" s="12">
        <v>0</v>
      </c>
      <c r="AI145" s="12">
        <v>0</v>
      </c>
      <c r="AJ145" s="12">
        <v>0</v>
      </c>
      <c r="AK145" s="12">
        <f t="shared" si="98"/>
        <v>122.80000000000001</v>
      </c>
      <c r="AL145" s="12">
        <v>174.7</v>
      </c>
      <c r="AM145" s="12">
        <f t="shared" si="90"/>
        <v>-30.700000000000017</v>
      </c>
      <c r="AN145" s="13">
        <f t="shared" si="91"/>
        <v>0.5978578383641675</v>
      </c>
      <c r="AO145" s="12">
        <v>76.900000000000006</v>
      </c>
      <c r="AP145" s="11" t="s">
        <v>502</v>
      </c>
      <c r="AQ145" s="14"/>
    </row>
    <row r="146" spans="1:43" outlineLevel="2" x14ac:dyDescent="0.45">
      <c r="A146" s="11" t="s">
        <v>503</v>
      </c>
      <c r="B146" s="11" t="s">
        <v>504</v>
      </c>
      <c r="C146" s="11" t="s">
        <v>134</v>
      </c>
      <c r="D146" s="11" t="s">
        <v>59</v>
      </c>
      <c r="E146" s="11" t="s">
        <v>72</v>
      </c>
      <c r="F146" s="11" t="s">
        <v>100</v>
      </c>
      <c r="G146" s="11" t="s">
        <v>84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f t="shared" si="93"/>
        <v>0</v>
      </c>
      <c r="U146" s="12">
        <f t="shared" si="94"/>
        <v>0</v>
      </c>
      <c r="V146" s="12">
        <f t="shared" si="95"/>
        <v>0</v>
      </c>
      <c r="W146" s="12">
        <f t="shared" si="96"/>
        <v>0</v>
      </c>
      <c r="X146" s="12">
        <f t="shared" si="97"/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f t="shared" si="98"/>
        <v>0</v>
      </c>
      <c r="AL146" s="12">
        <v>0</v>
      </c>
      <c r="AM146" s="12">
        <f t="shared" si="90"/>
        <v>0</v>
      </c>
      <c r="AN146" s="13">
        <f t="shared" si="91"/>
        <v>0</v>
      </c>
      <c r="AO146" s="12">
        <v>0</v>
      </c>
      <c r="AP146" s="11" t="s">
        <v>505</v>
      </c>
      <c r="AQ146" s="14"/>
    </row>
    <row r="147" spans="1:43" outlineLevel="2" x14ac:dyDescent="0.45">
      <c r="A147" s="11" t="s">
        <v>506</v>
      </c>
      <c r="B147" s="11" t="s">
        <v>507</v>
      </c>
      <c r="C147" s="11" t="s">
        <v>88</v>
      </c>
      <c r="D147" s="11" t="s">
        <v>59</v>
      </c>
      <c r="E147" s="11" t="s">
        <v>72</v>
      </c>
      <c r="F147" s="11" t="s">
        <v>83</v>
      </c>
      <c r="G147" s="11" t="s">
        <v>90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f t="shared" si="93"/>
        <v>0</v>
      </c>
      <c r="U147" s="12">
        <f t="shared" si="94"/>
        <v>0</v>
      </c>
      <c r="V147" s="12">
        <f t="shared" si="95"/>
        <v>0</v>
      </c>
      <c r="W147" s="12">
        <f t="shared" si="96"/>
        <v>0</v>
      </c>
      <c r="X147" s="12">
        <f t="shared" si="97"/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f t="shared" si="98"/>
        <v>0</v>
      </c>
      <c r="AL147" s="12">
        <v>0</v>
      </c>
      <c r="AM147" s="12">
        <f t="shared" si="90"/>
        <v>0</v>
      </c>
      <c r="AN147" s="13">
        <f t="shared" si="91"/>
        <v>0</v>
      </c>
      <c r="AO147" s="12">
        <v>0</v>
      </c>
      <c r="AP147" s="11" t="s">
        <v>508</v>
      </c>
      <c r="AQ147" s="14"/>
    </row>
    <row r="148" spans="1:43" outlineLevel="2" x14ac:dyDescent="0.45">
      <c r="A148" s="11" t="s">
        <v>509</v>
      </c>
      <c r="B148" s="11" t="s">
        <v>510</v>
      </c>
      <c r="C148" s="11" t="s">
        <v>94</v>
      </c>
      <c r="D148" s="11" t="s">
        <v>59</v>
      </c>
      <c r="E148" s="11" t="s">
        <v>66</v>
      </c>
      <c r="F148" s="11" t="s">
        <v>246</v>
      </c>
      <c r="G148" s="11" t="s">
        <v>95</v>
      </c>
      <c r="H148" s="12">
        <v>0</v>
      </c>
      <c r="I148" s="12">
        <v>0</v>
      </c>
      <c r="J148" s="12">
        <v>0</v>
      </c>
      <c r="K148" s="12">
        <v>0</v>
      </c>
      <c r="L148" s="12">
        <v>21.2</v>
      </c>
      <c r="M148" s="12">
        <v>55</v>
      </c>
      <c r="N148" s="12">
        <v>40.9</v>
      </c>
      <c r="O148" s="12">
        <v>43.9</v>
      </c>
      <c r="P148" s="12">
        <v>24</v>
      </c>
      <c r="Q148" s="12">
        <v>19.8</v>
      </c>
      <c r="R148" s="12">
        <v>33.299999999999997</v>
      </c>
      <c r="S148" s="12">
        <v>25.9</v>
      </c>
      <c r="T148" s="12">
        <f t="shared" si="93"/>
        <v>0</v>
      </c>
      <c r="U148" s="12">
        <f t="shared" si="94"/>
        <v>76.2</v>
      </c>
      <c r="V148" s="12">
        <f t="shared" si="95"/>
        <v>108.8</v>
      </c>
      <c r="W148" s="12">
        <f t="shared" si="96"/>
        <v>79</v>
      </c>
      <c r="X148" s="12">
        <f t="shared" si="97"/>
        <v>264</v>
      </c>
      <c r="Y148" s="12">
        <v>0</v>
      </c>
      <c r="Z148" s="12">
        <v>0</v>
      </c>
      <c r="AA148" s="12">
        <v>0</v>
      </c>
      <c r="AB148" s="12">
        <v>0</v>
      </c>
      <c r="AC148" s="12">
        <v>21.4</v>
      </c>
      <c r="AD148" s="12">
        <v>32.4</v>
      </c>
      <c r="AE148" s="12">
        <v>41.2</v>
      </c>
      <c r="AF148" s="12">
        <v>31.7</v>
      </c>
      <c r="AG148" s="12">
        <v>15.2</v>
      </c>
      <c r="AH148" s="12">
        <v>0</v>
      </c>
      <c r="AI148" s="12">
        <v>0</v>
      </c>
      <c r="AJ148" s="12">
        <v>0</v>
      </c>
      <c r="AK148" s="12">
        <f t="shared" si="98"/>
        <v>141.9</v>
      </c>
      <c r="AL148" s="12">
        <v>214.6</v>
      </c>
      <c r="AM148" s="12">
        <f t="shared" si="90"/>
        <v>-49.400000000000006</v>
      </c>
      <c r="AN148" s="13">
        <f t="shared" si="91"/>
        <v>0.53749999999999998</v>
      </c>
      <c r="AO148" s="12">
        <v>190.6</v>
      </c>
      <c r="AP148" s="11" t="s">
        <v>511</v>
      </c>
      <c r="AQ148" s="14"/>
    </row>
    <row r="149" spans="1:43" outlineLevel="2" x14ac:dyDescent="0.45">
      <c r="A149" s="11" t="s">
        <v>512</v>
      </c>
      <c r="B149" s="11" t="s">
        <v>513</v>
      </c>
      <c r="C149" s="11" t="s">
        <v>94</v>
      </c>
      <c r="D149" s="11" t="s">
        <v>59</v>
      </c>
      <c r="E149" s="11" t="s">
        <v>66</v>
      </c>
      <c r="F149" s="11" t="s">
        <v>259</v>
      </c>
      <c r="G149" s="11" t="s">
        <v>62</v>
      </c>
      <c r="H149" s="12">
        <v>0</v>
      </c>
      <c r="I149" s="12">
        <v>113</v>
      </c>
      <c r="J149" s="12">
        <v>96.4</v>
      </c>
      <c r="K149" s="12">
        <v>64.400000000000006</v>
      </c>
      <c r="L149" s="12">
        <v>185.6</v>
      </c>
      <c r="M149" s="12">
        <v>77.5</v>
      </c>
      <c r="N149" s="12">
        <v>105.5</v>
      </c>
      <c r="O149" s="12">
        <v>116.5</v>
      </c>
      <c r="P149" s="12">
        <v>168.5</v>
      </c>
      <c r="Q149" s="12">
        <v>132.19999999999999</v>
      </c>
      <c r="R149" s="12">
        <v>154.69999999999999</v>
      </c>
      <c r="S149" s="12">
        <v>106</v>
      </c>
      <c r="T149" s="12">
        <f t="shared" si="93"/>
        <v>209.4</v>
      </c>
      <c r="U149" s="12">
        <f t="shared" si="94"/>
        <v>327.5</v>
      </c>
      <c r="V149" s="12">
        <f t="shared" si="95"/>
        <v>390.5</v>
      </c>
      <c r="W149" s="12">
        <f t="shared" si="96"/>
        <v>392.9</v>
      </c>
      <c r="X149" s="12">
        <f t="shared" si="97"/>
        <v>1320.3</v>
      </c>
      <c r="Y149" s="12">
        <v>0</v>
      </c>
      <c r="Z149" s="12">
        <v>124.2</v>
      </c>
      <c r="AA149" s="12">
        <v>76.8</v>
      </c>
      <c r="AB149" s="12">
        <v>67.599999999999994</v>
      </c>
      <c r="AC149" s="12">
        <v>164.5</v>
      </c>
      <c r="AD149" s="12">
        <v>51.3</v>
      </c>
      <c r="AE149" s="12">
        <v>110.9</v>
      </c>
      <c r="AF149" s="12">
        <v>75.3</v>
      </c>
      <c r="AG149" s="12">
        <v>157.4</v>
      </c>
      <c r="AH149" s="12">
        <v>0</v>
      </c>
      <c r="AI149" s="12">
        <v>0</v>
      </c>
      <c r="AJ149" s="12">
        <v>0</v>
      </c>
      <c r="AK149" s="12">
        <f t="shared" si="98"/>
        <v>828</v>
      </c>
      <c r="AL149" s="12">
        <v>1166.4000000000001</v>
      </c>
      <c r="AM149" s="12">
        <f t="shared" si="90"/>
        <v>-153.89999999999986</v>
      </c>
      <c r="AN149" s="13">
        <f t="shared" si="91"/>
        <v>0.6271301976823449</v>
      </c>
      <c r="AO149" s="12">
        <v>522</v>
      </c>
      <c r="AP149" s="11" t="s">
        <v>514</v>
      </c>
      <c r="AQ149" s="14"/>
    </row>
    <row r="150" spans="1:43" ht="15.75" x14ac:dyDescent="0.5">
      <c r="A150" s="3" t="s">
        <v>515</v>
      </c>
      <c r="B150" s="3" t="s">
        <v>516</v>
      </c>
      <c r="C150" s="3"/>
      <c r="D150" s="3"/>
      <c r="E150" s="3"/>
      <c r="F150" s="3"/>
      <c r="G150" s="3"/>
      <c r="H150" s="4">
        <f t="shared" ref="H150:AL150" si="99">SUBTOTAL(9,H151:H168)</f>
        <v>0</v>
      </c>
      <c r="I150" s="4">
        <f t="shared" si="99"/>
        <v>0</v>
      </c>
      <c r="J150" s="4">
        <f t="shared" si="99"/>
        <v>108.6</v>
      </c>
      <c r="K150" s="4">
        <f t="shared" si="99"/>
        <v>214</v>
      </c>
      <c r="L150" s="4">
        <f t="shared" si="99"/>
        <v>192.60000000000002</v>
      </c>
      <c r="M150" s="4">
        <f t="shared" si="99"/>
        <v>318</v>
      </c>
      <c r="N150" s="4">
        <f t="shared" si="99"/>
        <v>307.60000000000002</v>
      </c>
      <c r="O150" s="4">
        <f t="shared" si="99"/>
        <v>288.09999999999997</v>
      </c>
      <c r="P150" s="4">
        <f t="shared" si="99"/>
        <v>412.00000000000006</v>
      </c>
      <c r="Q150" s="4">
        <f t="shared" si="99"/>
        <v>320.39999999999998</v>
      </c>
      <c r="R150" s="4">
        <f t="shared" si="99"/>
        <v>297.5</v>
      </c>
      <c r="S150" s="4">
        <f t="shared" si="99"/>
        <v>308.7</v>
      </c>
      <c r="T150" s="4">
        <f t="shared" si="99"/>
        <v>108.6</v>
      </c>
      <c r="U150" s="4">
        <f t="shared" si="99"/>
        <v>724.59999999999991</v>
      </c>
      <c r="V150" s="4">
        <f t="shared" si="99"/>
        <v>1007.7</v>
      </c>
      <c r="W150" s="4">
        <f t="shared" si="99"/>
        <v>926.6</v>
      </c>
      <c r="X150" s="4">
        <f t="shared" si="99"/>
        <v>2767.5</v>
      </c>
      <c r="Y150" s="4">
        <f t="shared" si="99"/>
        <v>0</v>
      </c>
      <c r="Z150" s="4">
        <f t="shared" si="99"/>
        <v>0</v>
      </c>
      <c r="AA150" s="4">
        <f t="shared" si="99"/>
        <v>102.9</v>
      </c>
      <c r="AB150" s="4">
        <f t="shared" si="99"/>
        <v>197.8</v>
      </c>
      <c r="AC150" s="4">
        <f t="shared" si="99"/>
        <v>161.10000000000002</v>
      </c>
      <c r="AD150" s="4">
        <f t="shared" si="99"/>
        <v>305.59999999999997</v>
      </c>
      <c r="AE150" s="4">
        <f t="shared" si="99"/>
        <v>280.39999999999998</v>
      </c>
      <c r="AF150" s="4">
        <f t="shared" si="99"/>
        <v>233.40000000000003</v>
      </c>
      <c r="AG150" s="4">
        <f t="shared" si="99"/>
        <v>344.7</v>
      </c>
      <c r="AH150" s="4">
        <f t="shared" si="99"/>
        <v>0</v>
      </c>
      <c r="AI150" s="4">
        <f t="shared" si="99"/>
        <v>0</v>
      </c>
      <c r="AJ150" s="4">
        <f t="shared" si="99"/>
        <v>0</v>
      </c>
      <c r="AK150" s="4">
        <f t="shared" si="99"/>
        <v>1625.9</v>
      </c>
      <c r="AL150" s="4">
        <f t="shared" si="99"/>
        <v>2520.4</v>
      </c>
      <c r="AM150" s="4">
        <f t="shared" si="90"/>
        <v>-247.09999999999991</v>
      </c>
      <c r="AN150" s="5">
        <f t="shared" si="91"/>
        <v>0.58749774164408319</v>
      </c>
      <c r="AO150" s="4">
        <f>SUBTOTAL(9,AO151:AO168)</f>
        <v>1648.6000000000001</v>
      </c>
      <c r="AP150" s="3"/>
      <c r="AQ150" s="6"/>
    </row>
    <row r="151" spans="1:43" outlineLevel="1" x14ac:dyDescent="0.45">
      <c r="A151" s="7" t="s">
        <v>517</v>
      </c>
      <c r="B151" s="7" t="s">
        <v>518</v>
      </c>
      <c r="C151" s="7"/>
      <c r="D151" s="7"/>
      <c r="E151" s="7"/>
      <c r="F151" s="7"/>
      <c r="G151" s="7"/>
      <c r="H151" s="8">
        <f t="shared" ref="H151:AL151" si="100">SUBTOTAL(9,H152:H160)</f>
        <v>0</v>
      </c>
      <c r="I151" s="8">
        <f t="shared" si="100"/>
        <v>0</v>
      </c>
      <c r="J151" s="8">
        <f t="shared" si="100"/>
        <v>108.6</v>
      </c>
      <c r="K151" s="8">
        <f t="shared" si="100"/>
        <v>214</v>
      </c>
      <c r="L151" s="8">
        <f t="shared" si="100"/>
        <v>192.60000000000002</v>
      </c>
      <c r="M151" s="8">
        <f t="shared" si="100"/>
        <v>318</v>
      </c>
      <c r="N151" s="8">
        <f t="shared" si="100"/>
        <v>307.60000000000002</v>
      </c>
      <c r="O151" s="8">
        <f t="shared" si="100"/>
        <v>288.09999999999997</v>
      </c>
      <c r="P151" s="8">
        <f t="shared" si="100"/>
        <v>412.00000000000006</v>
      </c>
      <c r="Q151" s="8">
        <f t="shared" si="100"/>
        <v>320.39999999999998</v>
      </c>
      <c r="R151" s="8">
        <f t="shared" si="100"/>
        <v>297.5</v>
      </c>
      <c r="S151" s="8">
        <f t="shared" si="100"/>
        <v>308.7</v>
      </c>
      <c r="T151" s="8">
        <f t="shared" si="100"/>
        <v>108.6</v>
      </c>
      <c r="U151" s="8">
        <f t="shared" si="100"/>
        <v>724.59999999999991</v>
      </c>
      <c r="V151" s="8">
        <f t="shared" si="100"/>
        <v>1007.7</v>
      </c>
      <c r="W151" s="8">
        <f t="shared" si="100"/>
        <v>926.6</v>
      </c>
      <c r="X151" s="8">
        <f t="shared" si="100"/>
        <v>2767.5</v>
      </c>
      <c r="Y151" s="8">
        <f t="shared" si="100"/>
        <v>0</v>
      </c>
      <c r="Z151" s="8">
        <f t="shared" si="100"/>
        <v>0</v>
      </c>
      <c r="AA151" s="8">
        <f t="shared" si="100"/>
        <v>102.9</v>
      </c>
      <c r="AB151" s="8">
        <f t="shared" si="100"/>
        <v>197.8</v>
      </c>
      <c r="AC151" s="8">
        <f t="shared" si="100"/>
        <v>161.10000000000002</v>
      </c>
      <c r="AD151" s="8">
        <f t="shared" si="100"/>
        <v>305.59999999999997</v>
      </c>
      <c r="AE151" s="8">
        <f t="shared" si="100"/>
        <v>280.39999999999998</v>
      </c>
      <c r="AF151" s="8">
        <f t="shared" si="100"/>
        <v>233.40000000000003</v>
      </c>
      <c r="AG151" s="8">
        <f t="shared" si="100"/>
        <v>344.7</v>
      </c>
      <c r="AH151" s="8">
        <f t="shared" si="100"/>
        <v>0</v>
      </c>
      <c r="AI151" s="8">
        <f t="shared" si="100"/>
        <v>0</v>
      </c>
      <c r="AJ151" s="8">
        <f t="shared" si="100"/>
        <v>0</v>
      </c>
      <c r="AK151" s="8">
        <f t="shared" si="100"/>
        <v>1625.9</v>
      </c>
      <c r="AL151" s="8">
        <f t="shared" si="100"/>
        <v>2520.4</v>
      </c>
      <c r="AM151" s="8">
        <f t="shared" si="90"/>
        <v>-247.09999999999991</v>
      </c>
      <c r="AN151" s="9">
        <f t="shared" si="91"/>
        <v>0.58749774164408319</v>
      </c>
      <c r="AO151" s="8">
        <f>SUBTOTAL(9,AO152:AO160)</f>
        <v>1648.6000000000001</v>
      </c>
      <c r="AP151" s="7"/>
      <c r="AQ151" s="10"/>
    </row>
    <row r="152" spans="1:43" hidden="1" outlineLevel="2" x14ac:dyDescent="0.45">
      <c r="A152" s="11" t="s">
        <v>519</v>
      </c>
      <c r="B152" s="11" t="s">
        <v>520</v>
      </c>
      <c r="C152" s="11" t="s">
        <v>71</v>
      </c>
      <c r="D152" s="11" t="s">
        <v>126</v>
      </c>
      <c r="E152" s="11" t="s">
        <v>66</v>
      </c>
      <c r="F152" s="11" t="s">
        <v>172</v>
      </c>
      <c r="G152" s="11" t="s">
        <v>62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f t="shared" ref="T152:T160" si="101">SUM(H152:J152)</f>
        <v>0</v>
      </c>
      <c r="U152" s="12">
        <f t="shared" ref="U152:U160" si="102">SUM(K152:M152)</f>
        <v>0</v>
      </c>
      <c r="V152" s="12">
        <f t="shared" ref="V152:V160" si="103">SUM(N152:P152)</f>
        <v>0</v>
      </c>
      <c r="W152" s="12">
        <f t="shared" ref="W152:W160" si="104">SUM(Q152:S152)</f>
        <v>0</v>
      </c>
      <c r="X152" s="12">
        <f t="shared" ref="X152:X160" si="105">SUM(T152:W152)</f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f t="shared" ref="AK152:AK160" si="106">SUM(Y152:AJ152)</f>
        <v>0</v>
      </c>
      <c r="AL152" s="12">
        <v>0</v>
      </c>
      <c r="AM152" s="12">
        <f t="shared" si="90"/>
        <v>0</v>
      </c>
      <c r="AN152" s="13">
        <f t="shared" si="91"/>
        <v>0</v>
      </c>
      <c r="AO152" s="12">
        <v>224.1</v>
      </c>
      <c r="AP152" s="11" t="s">
        <v>521</v>
      </c>
      <c r="AQ152" s="14" t="s">
        <v>147</v>
      </c>
    </row>
    <row r="153" spans="1:43" outlineLevel="2" x14ac:dyDescent="0.45">
      <c r="A153" s="11" t="s">
        <v>522</v>
      </c>
      <c r="B153" s="11" t="s">
        <v>523</v>
      </c>
      <c r="C153" s="11" t="s">
        <v>94</v>
      </c>
      <c r="D153" s="11" t="s">
        <v>126</v>
      </c>
      <c r="E153" s="11" t="s">
        <v>60</v>
      </c>
      <c r="F153" s="11" t="s">
        <v>214</v>
      </c>
      <c r="G153" s="11" t="s">
        <v>84</v>
      </c>
      <c r="H153" s="12">
        <v>0</v>
      </c>
      <c r="I153" s="12">
        <v>0</v>
      </c>
      <c r="J153" s="12">
        <v>0</v>
      </c>
      <c r="K153" s="12">
        <v>126.1</v>
      </c>
      <c r="L153" s="12">
        <v>43.4</v>
      </c>
      <c r="M153" s="12">
        <v>38.700000000000003</v>
      </c>
      <c r="N153" s="12">
        <v>85.6</v>
      </c>
      <c r="O153" s="12">
        <v>42.3</v>
      </c>
      <c r="P153" s="12">
        <v>138.80000000000001</v>
      </c>
      <c r="Q153" s="12">
        <v>67.3</v>
      </c>
      <c r="R153" s="12">
        <v>56.6</v>
      </c>
      <c r="S153" s="12">
        <v>58.9</v>
      </c>
      <c r="T153" s="12">
        <f t="shared" si="101"/>
        <v>0</v>
      </c>
      <c r="U153" s="12">
        <f t="shared" si="102"/>
        <v>208.2</v>
      </c>
      <c r="V153" s="12">
        <f t="shared" si="103"/>
        <v>266.7</v>
      </c>
      <c r="W153" s="12">
        <f t="shared" si="104"/>
        <v>182.8</v>
      </c>
      <c r="X153" s="12">
        <f t="shared" si="105"/>
        <v>657.7</v>
      </c>
      <c r="Y153" s="12">
        <v>0</v>
      </c>
      <c r="Z153" s="12">
        <v>0</v>
      </c>
      <c r="AA153" s="12">
        <v>0</v>
      </c>
      <c r="AB153" s="12">
        <v>109.7</v>
      </c>
      <c r="AC153" s="12">
        <v>41.9</v>
      </c>
      <c r="AD153" s="12">
        <v>40.4</v>
      </c>
      <c r="AE153" s="12">
        <v>86.6</v>
      </c>
      <c r="AF153" s="12">
        <v>40</v>
      </c>
      <c r="AG153" s="12">
        <v>94.1</v>
      </c>
      <c r="AH153" s="12">
        <v>0</v>
      </c>
      <c r="AI153" s="12">
        <v>0</v>
      </c>
      <c r="AJ153" s="12">
        <v>0</v>
      </c>
      <c r="AK153" s="12">
        <f t="shared" si="106"/>
        <v>412.70000000000005</v>
      </c>
      <c r="AL153" s="12">
        <v>586.70000000000005</v>
      </c>
      <c r="AM153" s="12">
        <f t="shared" si="90"/>
        <v>-71</v>
      </c>
      <c r="AN153" s="13">
        <f t="shared" si="91"/>
        <v>0.62748973696214083</v>
      </c>
      <c r="AO153" s="12">
        <v>49.1</v>
      </c>
      <c r="AP153" s="11" t="s">
        <v>524</v>
      </c>
      <c r="AQ153" s="14"/>
    </row>
    <row r="154" spans="1:43" outlineLevel="2" x14ac:dyDescent="0.45">
      <c r="A154" s="11" t="s">
        <v>525</v>
      </c>
      <c r="B154" s="11" t="s">
        <v>526</v>
      </c>
      <c r="C154" s="11" t="s">
        <v>88</v>
      </c>
      <c r="D154" s="11" t="s">
        <v>126</v>
      </c>
      <c r="E154" s="11" t="s">
        <v>66</v>
      </c>
      <c r="F154" s="11" t="s">
        <v>138</v>
      </c>
      <c r="G154" s="11" t="s">
        <v>95</v>
      </c>
      <c r="H154" s="12">
        <v>0</v>
      </c>
      <c r="I154" s="12">
        <v>0</v>
      </c>
      <c r="J154" s="12">
        <v>47</v>
      </c>
      <c r="K154" s="12">
        <v>64</v>
      </c>
      <c r="L154" s="12">
        <v>95.4</v>
      </c>
      <c r="M154" s="12">
        <v>67.099999999999994</v>
      </c>
      <c r="N154" s="12">
        <v>89.9</v>
      </c>
      <c r="O154" s="12">
        <v>94.6</v>
      </c>
      <c r="P154" s="12">
        <v>118.3</v>
      </c>
      <c r="Q154" s="12">
        <v>78.5</v>
      </c>
      <c r="R154" s="12">
        <v>49.8</v>
      </c>
      <c r="S154" s="12">
        <v>141.4</v>
      </c>
      <c r="T154" s="12">
        <f t="shared" si="101"/>
        <v>47</v>
      </c>
      <c r="U154" s="12">
        <f t="shared" si="102"/>
        <v>226.5</v>
      </c>
      <c r="V154" s="12">
        <f t="shared" si="103"/>
        <v>302.8</v>
      </c>
      <c r="W154" s="12">
        <f t="shared" si="104"/>
        <v>269.70000000000005</v>
      </c>
      <c r="X154" s="12">
        <f t="shared" si="105"/>
        <v>846</v>
      </c>
      <c r="Y154" s="12">
        <v>0</v>
      </c>
      <c r="Z154" s="12">
        <v>0</v>
      </c>
      <c r="AA154" s="12">
        <v>52.8</v>
      </c>
      <c r="AB154" s="12">
        <v>67.900000000000006</v>
      </c>
      <c r="AC154" s="12">
        <v>86.4</v>
      </c>
      <c r="AD154" s="12">
        <v>57.5</v>
      </c>
      <c r="AE154" s="12">
        <v>94.3</v>
      </c>
      <c r="AF154" s="12">
        <v>52.8</v>
      </c>
      <c r="AG154" s="12">
        <v>131.80000000000001</v>
      </c>
      <c r="AH154" s="12">
        <v>0</v>
      </c>
      <c r="AI154" s="12">
        <v>0</v>
      </c>
      <c r="AJ154" s="12">
        <v>0</v>
      </c>
      <c r="AK154" s="12">
        <f t="shared" si="106"/>
        <v>543.5</v>
      </c>
      <c r="AL154" s="12">
        <v>827.6</v>
      </c>
      <c r="AM154" s="12">
        <f t="shared" si="90"/>
        <v>-18.399999999999977</v>
      </c>
      <c r="AN154" s="13">
        <f t="shared" si="91"/>
        <v>0.64243498817966904</v>
      </c>
      <c r="AO154" s="12">
        <v>222</v>
      </c>
      <c r="AP154" s="11" t="s">
        <v>527</v>
      </c>
      <c r="AQ154" s="14"/>
    </row>
    <row r="155" spans="1:43" outlineLevel="2" x14ac:dyDescent="0.45">
      <c r="A155" s="11" t="s">
        <v>528</v>
      </c>
      <c r="B155" s="11" t="s">
        <v>529</v>
      </c>
      <c r="C155" s="11" t="s">
        <v>134</v>
      </c>
      <c r="D155" s="11" t="s">
        <v>126</v>
      </c>
      <c r="E155" s="11" t="s">
        <v>72</v>
      </c>
      <c r="F155" s="11" t="s">
        <v>73</v>
      </c>
      <c r="G155" s="11" t="s">
        <v>95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f t="shared" si="101"/>
        <v>0</v>
      </c>
      <c r="U155" s="12">
        <f t="shared" si="102"/>
        <v>0</v>
      </c>
      <c r="V155" s="12">
        <f t="shared" si="103"/>
        <v>0</v>
      </c>
      <c r="W155" s="12">
        <f t="shared" si="104"/>
        <v>0</v>
      </c>
      <c r="X155" s="12">
        <f t="shared" si="105"/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f t="shared" si="106"/>
        <v>0</v>
      </c>
      <c r="AL155" s="12">
        <v>0</v>
      </c>
      <c r="AM155" s="12">
        <f t="shared" si="90"/>
        <v>0</v>
      </c>
      <c r="AN155" s="13">
        <f t="shared" si="91"/>
        <v>0</v>
      </c>
      <c r="AO155" s="12">
        <v>0</v>
      </c>
      <c r="AP155" s="11" t="s">
        <v>530</v>
      </c>
      <c r="AQ155" s="14"/>
    </row>
    <row r="156" spans="1:43" ht="28.5" outlineLevel="2" x14ac:dyDescent="0.45">
      <c r="A156" s="11" t="s">
        <v>531</v>
      </c>
      <c r="B156" s="11" t="s">
        <v>532</v>
      </c>
      <c r="C156" s="11" t="s">
        <v>88</v>
      </c>
      <c r="D156" s="11" t="s">
        <v>126</v>
      </c>
      <c r="E156" s="11" t="s">
        <v>72</v>
      </c>
      <c r="F156" s="11" t="s">
        <v>127</v>
      </c>
      <c r="G156" s="11" t="s">
        <v>95</v>
      </c>
      <c r="H156" s="12">
        <v>0</v>
      </c>
      <c r="I156" s="12">
        <v>0</v>
      </c>
      <c r="J156" s="12">
        <v>61.6</v>
      </c>
      <c r="K156" s="12">
        <v>23.9</v>
      </c>
      <c r="L156" s="12">
        <v>53.8</v>
      </c>
      <c r="M156" s="12">
        <v>55.7</v>
      </c>
      <c r="N156" s="12">
        <v>69.099999999999994</v>
      </c>
      <c r="O156" s="12">
        <v>32.6</v>
      </c>
      <c r="P156" s="12">
        <v>59.5</v>
      </c>
      <c r="Q156" s="12">
        <v>42</v>
      </c>
      <c r="R156" s="12">
        <v>40.700000000000003</v>
      </c>
      <c r="S156" s="12">
        <v>45.4</v>
      </c>
      <c r="T156" s="12">
        <f t="shared" si="101"/>
        <v>61.6</v>
      </c>
      <c r="U156" s="12">
        <f t="shared" si="102"/>
        <v>133.39999999999998</v>
      </c>
      <c r="V156" s="12">
        <f t="shared" si="103"/>
        <v>161.19999999999999</v>
      </c>
      <c r="W156" s="12">
        <f t="shared" si="104"/>
        <v>128.1</v>
      </c>
      <c r="X156" s="12">
        <f t="shared" si="105"/>
        <v>484.29999999999995</v>
      </c>
      <c r="Y156" s="12">
        <v>0</v>
      </c>
      <c r="Z156" s="12">
        <v>0</v>
      </c>
      <c r="AA156" s="12">
        <v>50.1</v>
      </c>
      <c r="AB156" s="12">
        <v>20.2</v>
      </c>
      <c r="AC156" s="12">
        <v>32.799999999999997</v>
      </c>
      <c r="AD156" s="12">
        <v>42.6</v>
      </c>
      <c r="AE156" s="12">
        <v>47.7</v>
      </c>
      <c r="AF156" s="12">
        <v>35.6</v>
      </c>
      <c r="AG156" s="12">
        <v>59</v>
      </c>
      <c r="AH156" s="12">
        <v>0</v>
      </c>
      <c r="AI156" s="12">
        <v>0</v>
      </c>
      <c r="AJ156" s="12">
        <v>0</v>
      </c>
      <c r="AK156" s="12">
        <f t="shared" si="106"/>
        <v>288</v>
      </c>
      <c r="AL156" s="12">
        <v>392.7</v>
      </c>
      <c r="AM156" s="12">
        <f t="shared" si="90"/>
        <v>-91.599999999999966</v>
      </c>
      <c r="AN156" s="13">
        <f t="shared" si="91"/>
        <v>0.59467272351848033</v>
      </c>
      <c r="AO156" s="12">
        <v>144.9</v>
      </c>
      <c r="AP156" s="11" t="s">
        <v>533</v>
      </c>
      <c r="AQ156" s="14" t="s">
        <v>234</v>
      </c>
    </row>
    <row r="157" spans="1:43" hidden="1" outlineLevel="2" x14ac:dyDescent="0.45">
      <c r="A157" s="11" t="s">
        <v>534</v>
      </c>
      <c r="B157" s="11" t="s">
        <v>535</v>
      </c>
      <c r="C157" s="11" t="s">
        <v>88</v>
      </c>
      <c r="D157" s="11" t="s">
        <v>126</v>
      </c>
      <c r="E157" s="11" t="s">
        <v>72</v>
      </c>
      <c r="F157" s="11" t="s">
        <v>142</v>
      </c>
      <c r="G157" s="11" t="s">
        <v>84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f t="shared" si="101"/>
        <v>0</v>
      </c>
      <c r="U157" s="12">
        <f t="shared" si="102"/>
        <v>0</v>
      </c>
      <c r="V157" s="12">
        <f t="shared" si="103"/>
        <v>0</v>
      </c>
      <c r="W157" s="12">
        <f t="shared" si="104"/>
        <v>0</v>
      </c>
      <c r="X157" s="12">
        <f t="shared" si="105"/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f t="shared" si="106"/>
        <v>0</v>
      </c>
      <c r="AL157" s="12">
        <v>0</v>
      </c>
      <c r="AM157" s="12">
        <f t="shared" si="90"/>
        <v>0</v>
      </c>
      <c r="AN157" s="13">
        <f t="shared" si="91"/>
        <v>0</v>
      </c>
      <c r="AO157" s="12">
        <v>110.7</v>
      </c>
      <c r="AP157" s="11" t="s">
        <v>536</v>
      </c>
      <c r="AQ157" s="14" t="s">
        <v>147</v>
      </c>
    </row>
    <row r="158" spans="1:43" ht="28.5" outlineLevel="2" x14ac:dyDescent="0.45">
      <c r="A158" s="11" t="s">
        <v>537</v>
      </c>
      <c r="B158" s="11" t="s">
        <v>538</v>
      </c>
      <c r="C158" s="11" t="s">
        <v>58</v>
      </c>
      <c r="D158" s="11" t="s">
        <v>126</v>
      </c>
      <c r="E158" s="11" t="s">
        <v>66</v>
      </c>
      <c r="F158" s="11" t="s">
        <v>100</v>
      </c>
      <c r="G158" s="11" t="s">
        <v>84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134.30000000000001</v>
      </c>
      <c r="N158" s="12">
        <v>37.700000000000003</v>
      </c>
      <c r="O158" s="12">
        <v>105.3</v>
      </c>
      <c r="P158" s="12">
        <v>81.599999999999994</v>
      </c>
      <c r="Q158" s="12">
        <v>113.7</v>
      </c>
      <c r="R158" s="12">
        <v>141.9</v>
      </c>
      <c r="S158" s="12">
        <v>50.3</v>
      </c>
      <c r="T158" s="12">
        <f t="shared" si="101"/>
        <v>0</v>
      </c>
      <c r="U158" s="12">
        <f t="shared" si="102"/>
        <v>134.30000000000001</v>
      </c>
      <c r="V158" s="12">
        <f t="shared" si="103"/>
        <v>224.6</v>
      </c>
      <c r="W158" s="12">
        <f t="shared" si="104"/>
        <v>305.90000000000003</v>
      </c>
      <c r="X158" s="12">
        <f t="shared" si="105"/>
        <v>664.8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147.4</v>
      </c>
      <c r="AE158" s="12">
        <v>28.5</v>
      </c>
      <c r="AF158" s="12">
        <v>90.7</v>
      </c>
      <c r="AG158" s="12">
        <v>50.3</v>
      </c>
      <c r="AH158" s="12">
        <v>0</v>
      </c>
      <c r="AI158" s="12">
        <v>0</v>
      </c>
      <c r="AJ158" s="12">
        <v>0</v>
      </c>
      <c r="AK158" s="12">
        <f t="shared" si="106"/>
        <v>316.90000000000003</v>
      </c>
      <c r="AL158" s="12">
        <v>606.29999999999995</v>
      </c>
      <c r="AM158" s="12">
        <f t="shared" si="90"/>
        <v>-58.5</v>
      </c>
      <c r="AN158" s="13">
        <f t="shared" si="91"/>
        <v>0.47668471720818301</v>
      </c>
      <c r="AO158" s="12">
        <v>818.6</v>
      </c>
      <c r="AP158" s="11" t="s">
        <v>539</v>
      </c>
      <c r="AQ158" s="14" t="s">
        <v>121</v>
      </c>
    </row>
    <row r="159" spans="1:43" ht="28.5" outlineLevel="2" x14ac:dyDescent="0.45">
      <c r="A159" s="11" t="s">
        <v>540</v>
      </c>
      <c r="B159" s="11" t="s">
        <v>541</v>
      </c>
      <c r="C159" s="11" t="s">
        <v>71</v>
      </c>
      <c r="D159" s="11" t="s">
        <v>126</v>
      </c>
      <c r="E159" s="11" t="s">
        <v>72</v>
      </c>
      <c r="F159" s="11" t="s">
        <v>172</v>
      </c>
      <c r="G159" s="11" t="s">
        <v>95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22.2</v>
      </c>
      <c r="N159" s="12">
        <v>25.3</v>
      </c>
      <c r="O159" s="12">
        <v>13.3</v>
      </c>
      <c r="P159" s="12">
        <v>13.8</v>
      </c>
      <c r="Q159" s="12">
        <v>18.899999999999999</v>
      </c>
      <c r="R159" s="12">
        <v>8.5</v>
      </c>
      <c r="S159" s="12">
        <v>12.7</v>
      </c>
      <c r="T159" s="12">
        <f t="shared" si="101"/>
        <v>0</v>
      </c>
      <c r="U159" s="12">
        <f t="shared" si="102"/>
        <v>22.2</v>
      </c>
      <c r="V159" s="12">
        <f t="shared" si="103"/>
        <v>52.400000000000006</v>
      </c>
      <c r="W159" s="12">
        <f t="shared" si="104"/>
        <v>40.099999999999994</v>
      </c>
      <c r="X159" s="12">
        <f t="shared" si="105"/>
        <v>114.7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17.7</v>
      </c>
      <c r="AE159" s="12">
        <v>23.3</v>
      </c>
      <c r="AF159" s="12">
        <v>14.3</v>
      </c>
      <c r="AG159" s="12">
        <v>9.5</v>
      </c>
      <c r="AH159" s="12">
        <v>0</v>
      </c>
      <c r="AI159" s="12">
        <v>0</v>
      </c>
      <c r="AJ159" s="12">
        <v>0</v>
      </c>
      <c r="AK159" s="12">
        <f t="shared" si="106"/>
        <v>64.8</v>
      </c>
      <c r="AL159" s="12">
        <v>107.1</v>
      </c>
      <c r="AM159" s="12">
        <f t="shared" si="90"/>
        <v>-7.6000000000000085</v>
      </c>
      <c r="AN159" s="13">
        <f t="shared" si="91"/>
        <v>0.56495204882301653</v>
      </c>
      <c r="AO159" s="12">
        <v>79.2</v>
      </c>
      <c r="AP159" s="11" t="s">
        <v>542</v>
      </c>
      <c r="AQ159" s="14" t="s">
        <v>234</v>
      </c>
    </row>
    <row r="160" spans="1:43" outlineLevel="2" x14ac:dyDescent="0.45">
      <c r="A160" s="11" t="s">
        <v>543</v>
      </c>
      <c r="B160" s="11" t="s">
        <v>544</v>
      </c>
      <c r="C160" s="11" t="s">
        <v>88</v>
      </c>
      <c r="D160" s="11" t="s">
        <v>126</v>
      </c>
      <c r="E160" s="11" t="s">
        <v>60</v>
      </c>
      <c r="F160" s="11" t="s">
        <v>142</v>
      </c>
      <c r="G160" s="11" t="s">
        <v>62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f t="shared" si="101"/>
        <v>0</v>
      </c>
      <c r="U160" s="12">
        <f t="shared" si="102"/>
        <v>0</v>
      </c>
      <c r="V160" s="12">
        <f t="shared" si="103"/>
        <v>0</v>
      </c>
      <c r="W160" s="12">
        <f t="shared" si="104"/>
        <v>0</v>
      </c>
      <c r="X160" s="12">
        <f t="shared" si="105"/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f t="shared" si="106"/>
        <v>0</v>
      </c>
      <c r="AL160" s="12">
        <v>0</v>
      </c>
      <c r="AM160" s="12">
        <f t="shared" si="90"/>
        <v>0</v>
      </c>
      <c r="AN160" s="13">
        <f t="shared" si="91"/>
        <v>0</v>
      </c>
      <c r="AO160" s="12">
        <v>0</v>
      </c>
      <c r="AP160" s="11" t="s">
        <v>545</v>
      </c>
      <c r="AQ160" s="14"/>
    </row>
    <row r="161" spans="1:43" outlineLevel="1" x14ac:dyDescent="0.45">
      <c r="A161" s="7" t="s">
        <v>546</v>
      </c>
      <c r="B161" s="7" t="s">
        <v>547</v>
      </c>
      <c r="C161" s="7"/>
      <c r="D161" s="7"/>
      <c r="E161" s="7"/>
      <c r="F161" s="7"/>
      <c r="G161" s="7"/>
      <c r="H161" s="8">
        <f t="shared" ref="H161:AL161" si="107">SUBTOTAL(9,H162:H168)</f>
        <v>0</v>
      </c>
      <c r="I161" s="8">
        <f t="shared" si="107"/>
        <v>0</v>
      </c>
      <c r="J161" s="8">
        <f t="shared" si="107"/>
        <v>0</v>
      </c>
      <c r="K161" s="8">
        <f t="shared" si="107"/>
        <v>0</v>
      </c>
      <c r="L161" s="8">
        <f t="shared" si="107"/>
        <v>0</v>
      </c>
      <c r="M161" s="8">
        <f t="shared" si="107"/>
        <v>0</v>
      </c>
      <c r="N161" s="8">
        <f t="shared" si="107"/>
        <v>0</v>
      </c>
      <c r="O161" s="8">
        <f t="shared" si="107"/>
        <v>0</v>
      </c>
      <c r="P161" s="8">
        <f t="shared" si="107"/>
        <v>0</v>
      </c>
      <c r="Q161" s="8">
        <f t="shared" si="107"/>
        <v>0</v>
      </c>
      <c r="R161" s="8">
        <f t="shared" si="107"/>
        <v>0</v>
      </c>
      <c r="S161" s="8">
        <f t="shared" si="107"/>
        <v>0</v>
      </c>
      <c r="T161" s="8">
        <f t="shared" si="107"/>
        <v>0</v>
      </c>
      <c r="U161" s="8">
        <f t="shared" si="107"/>
        <v>0</v>
      </c>
      <c r="V161" s="8">
        <f t="shared" si="107"/>
        <v>0</v>
      </c>
      <c r="W161" s="8">
        <f t="shared" si="107"/>
        <v>0</v>
      </c>
      <c r="X161" s="8">
        <f t="shared" si="107"/>
        <v>0</v>
      </c>
      <c r="Y161" s="8">
        <f t="shared" si="107"/>
        <v>0</v>
      </c>
      <c r="Z161" s="8">
        <f t="shared" si="107"/>
        <v>0</v>
      </c>
      <c r="AA161" s="8">
        <f t="shared" si="107"/>
        <v>0</v>
      </c>
      <c r="AB161" s="8">
        <f t="shared" si="107"/>
        <v>0</v>
      </c>
      <c r="AC161" s="8">
        <f t="shared" si="107"/>
        <v>0</v>
      </c>
      <c r="AD161" s="8">
        <f t="shared" si="107"/>
        <v>0</v>
      </c>
      <c r="AE161" s="8">
        <f t="shared" si="107"/>
        <v>0</v>
      </c>
      <c r="AF161" s="8">
        <f t="shared" si="107"/>
        <v>0</v>
      </c>
      <c r="AG161" s="8">
        <f t="shared" si="107"/>
        <v>0</v>
      </c>
      <c r="AH161" s="8">
        <f t="shared" si="107"/>
        <v>0</v>
      </c>
      <c r="AI161" s="8">
        <f t="shared" si="107"/>
        <v>0</v>
      </c>
      <c r="AJ161" s="8">
        <f t="shared" si="107"/>
        <v>0</v>
      </c>
      <c r="AK161" s="8">
        <f t="shared" si="107"/>
        <v>0</v>
      </c>
      <c r="AL161" s="8">
        <f t="shared" si="107"/>
        <v>0</v>
      </c>
      <c r="AM161" s="8">
        <f t="shared" si="90"/>
        <v>0</v>
      </c>
      <c r="AN161" s="9">
        <f t="shared" si="91"/>
        <v>0</v>
      </c>
      <c r="AO161" s="8">
        <f>SUBTOTAL(9,AO162:AO168)</f>
        <v>0</v>
      </c>
      <c r="AP161" s="7"/>
      <c r="AQ161" s="10"/>
    </row>
    <row r="162" spans="1:43" outlineLevel="2" x14ac:dyDescent="0.45">
      <c r="A162" s="11" t="s">
        <v>548</v>
      </c>
      <c r="B162" s="11" t="s">
        <v>549</v>
      </c>
      <c r="C162" s="11" t="s">
        <v>58</v>
      </c>
      <c r="D162" s="11" t="s">
        <v>59</v>
      </c>
      <c r="E162" s="11" t="s">
        <v>72</v>
      </c>
      <c r="F162" s="11" t="s">
        <v>67</v>
      </c>
      <c r="G162" s="11" t="s">
        <v>90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f t="shared" ref="T162:T168" si="108">SUM(H162:J162)</f>
        <v>0</v>
      </c>
      <c r="U162" s="12">
        <f t="shared" ref="U162:U168" si="109">SUM(K162:M162)</f>
        <v>0</v>
      </c>
      <c r="V162" s="12">
        <f t="shared" ref="V162:V168" si="110">SUM(N162:P162)</f>
        <v>0</v>
      </c>
      <c r="W162" s="12">
        <f t="shared" ref="W162:W168" si="111">SUM(Q162:S162)</f>
        <v>0</v>
      </c>
      <c r="X162" s="12">
        <f t="shared" ref="X162:X168" si="112">SUM(T162:W162)</f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f t="shared" ref="AK162:AK168" si="113">SUM(Y162:AJ162)</f>
        <v>0</v>
      </c>
      <c r="AL162" s="12">
        <v>0</v>
      </c>
      <c r="AM162" s="12">
        <f t="shared" si="90"/>
        <v>0</v>
      </c>
      <c r="AN162" s="13">
        <f t="shared" si="91"/>
        <v>0</v>
      </c>
      <c r="AO162" s="12">
        <v>0</v>
      </c>
      <c r="AP162" s="11" t="s">
        <v>550</v>
      </c>
      <c r="AQ162" s="14"/>
    </row>
    <row r="163" spans="1:43" outlineLevel="2" x14ac:dyDescent="0.45">
      <c r="A163" s="11" t="s">
        <v>551</v>
      </c>
      <c r="B163" s="11" t="s">
        <v>552</v>
      </c>
      <c r="C163" s="11" t="s">
        <v>71</v>
      </c>
      <c r="D163" s="11" t="s">
        <v>59</v>
      </c>
      <c r="E163" s="11" t="s">
        <v>66</v>
      </c>
      <c r="F163" s="11" t="s">
        <v>119</v>
      </c>
      <c r="G163" s="11" t="s">
        <v>95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f t="shared" si="108"/>
        <v>0</v>
      </c>
      <c r="U163" s="12">
        <f t="shared" si="109"/>
        <v>0</v>
      </c>
      <c r="V163" s="12">
        <f t="shared" si="110"/>
        <v>0</v>
      </c>
      <c r="W163" s="12">
        <f t="shared" si="111"/>
        <v>0</v>
      </c>
      <c r="X163" s="12">
        <f t="shared" si="112"/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f t="shared" si="113"/>
        <v>0</v>
      </c>
      <c r="AL163" s="12">
        <v>0</v>
      </c>
      <c r="AM163" s="12">
        <f t="shared" si="90"/>
        <v>0</v>
      </c>
      <c r="AN163" s="13">
        <f t="shared" si="91"/>
        <v>0</v>
      </c>
      <c r="AO163" s="12">
        <v>0</v>
      </c>
      <c r="AP163" s="11" t="s">
        <v>553</v>
      </c>
      <c r="AQ163" s="14"/>
    </row>
    <row r="164" spans="1:43" outlineLevel="2" x14ac:dyDescent="0.45">
      <c r="A164" s="11" t="s">
        <v>554</v>
      </c>
      <c r="B164" s="11" t="s">
        <v>555</v>
      </c>
      <c r="C164" s="11" t="s">
        <v>88</v>
      </c>
      <c r="D164" s="11" t="s">
        <v>59</v>
      </c>
      <c r="E164" s="11" t="s">
        <v>66</v>
      </c>
      <c r="F164" s="11" t="s">
        <v>119</v>
      </c>
      <c r="G164" s="11" t="s">
        <v>84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f t="shared" si="108"/>
        <v>0</v>
      </c>
      <c r="U164" s="12">
        <f t="shared" si="109"/>
        <v>0</v>
      </c>
      <c r="V164" s="12">
        <f t="shared" si="110"/>
        <v>0</v>
      </c>
      <c r="W164" s="12">
        <f t="shared" si="111"/>
        <v>0</v>
      </c>
      <c r="X164" s="12">
        <f t="shared" si="112"/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f t="shared" si="113"/>
        <v>0</v>
      </c>
      <c r="AL164" s="12">
        <v>0</v>
      </c>
      <c r="AM164" s="12">
        <f t="shared" si="90"/>
        <v>0</v>
      </c>
      <c r="AN164" s="13">
        <f t="shared" si="91"/>
        <v>0</v>
      </c>
      <c r="AO164" s="12">
        <v>0</v>
      </c>
      <c r="AP164" s="11" t="s">
        <v>556</v>
      </c>
      <c r="AQ164" s="14"/>
    </row>
    <row r="165" spans="1:43" outlineLevel="2" x14ac:dyDescent="0.45">
      <c r="A165" s="11" t="s">
        <v>557</v>
      </c>
      <c r="B165" s="11" t="s">
        <v>558</v>
      </c>
      <c r="C165" s="11" t="s">
        <v>134</v>
      </c>
      <c r="D165" s="11" t="s">
        <v>59</v>
      </c>
      <c r="E165" s="11" t="s">
        <v>72</v>
      </c>
      <c r="F165" s="11" t="s">
        <v>285</v>
      </c>
      <c r="G165" s="11" t="s">
        <v>62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f t="shared" si="108"/>
        <v>0</v>
      </c>
      <c r="U165" s="12">
        <f t="shared" si="109"/>
        <v>0</v>
      </c>
      <c r="V165" s="12">
        <f t="shared" si="110"/>
        <v>0</v>
      </c>
      <c r="W165" s="12">
        <f t="shared" si="111"/>
        <v>0</v>
      </c>
      <c r="X165" s="12">
        <f t="shared" si="112"/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f t="shared" si="113"/>
        <v>0</v>
      </c>
      <c r="AL165" s="12">
        <v>0</v>
      </c>
      <c r="AM165" s="12">
        <f t="shared" si="90"/>
        <v>0</v>
      </c>
      <c r="AN165" s="13">
        <f t="shared" si="91"/>
        <v>0</v>
      </c>
      <c r="AO165" s="12">
        <v>0</v>
      </c>
      <c r="AP165" s="11" t="s">
        <v>559</v>
      </c>
      <c r="AQ165" s="14"/>
    </row>
    <row r="166" spans="1:43" outlineLevel="2" x14ac:dyDescent="0.45">
      <c r="A166" s="11" t="s">
        <v>560</v>
      </c>
      <c r="B166" s="11" t="s">
        <v>561</v>
      </c>
      <c r="C166" s="11" t="s">
        <v>94</v>
      </c>
      <c r="D166" s="11" t="s">
        <v>59</v>
      </c>
      <c r="E166" s="11" t="s">
        <v>72</v>
      </c>
      <c r="F166" s="11" t="s">
        <v>224</v>
      </c>
      <c r="G166" s="11" t="s">
        <v>95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f t="shared" si="108"/>
        <v>0</v>
      </c>
      <c r="U166" s="12">
        <f t="shared" si="109"/>
        <v>0</v>
      </c>
      <c r="V166" s="12">
        <f t="shared" si="110"/>
        <v>0</v>
      </c>
      <c r="W166" s="12">
        <f t="shared" si="111"/>
        <v>0</v>
      </c>
      <c r="X166" s="12">
        <f t="shared" si="112"/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f t="shared" si="113"/>
        <v>0</v>
      </c>
      <c r="AL166" s="12">
        <v>0</v>
      </c>
      <c r="AM166" s="12">
        <f t="shared" ref="AM166:AM197" si="114">AL166-X166</f>
        <v>0</v>
      </c>
      <c r="AN166" s="13">
        <f t="shared" si="91"/>
        <v>0</v>
      </c>
      <c r="AO166" s="12">
        <v>0</v>
      </c>
      <c r="AP166" s="11" t="s">
        <v>562</v>
      </c>
      <c r="AQ166" s="14"/>
    </row>
    <row r="167" spans="1:43" outlineLevel="2" x14ac:dyDescent="0.45">
      <c r="A167" s="11" t="s">
        <v>563</v>
      </c>
      <c r="B167" s="11" t="s">
        <v>564</v>
      </c>
      <c r="C167" s="11" t="s">
        <v>58</v>
      </c>
      <c r="D167" s="11" t="s">
        <v>59</v>
      </c>
      <c r="E167" s="11" t="s">
        <v>66</v>
      </c>
      <c r="F167" s="11" t="s">
        <v>115</v>
      </c>
      <c r="G167" s="11" t="s">
        <v>95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f t="shared" si="108"/>
        <v>0</v>
      </c>
      <c r="U167" s="12">
        <f t="shared" si="109"/>
        <v>0</v>
      </c>
      <c r="V167" s="12">
        <f t="shared" si="110"/>
        <v>0</v>
      </c>
      <c r="W167" s="12">
        <f t="shared" si="111"/>
        <v>0</v>
      </c>
      <c r="X167" s="12">
        <f t="shared" si="112"/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f t="shared" si="113"/>
        <v>0</v>
      </c>
      <c r="AL167" s="12">
        <v>0</v>
      </c>
      <c r="AM167" s="12">
        <f t="shared" si="114"/>
        <v>0</v>
      </c>
      <c r="AN167" s="13">
        <f t="shared" si="91"/>
        <v>0</v>
      </c>
      <c r="AO167" s="12">
        <v>0</v>
      </c>
      <c r="AP167" s="11" t="s">
        <v>565</v>
      </c>
      <c r="AQ167" s="14"/>
    </row>
    <row r="168" spans="1:43" outlineLevel="2" x14ac:dyDescent="0.45">
      <c r="A168" s="11" t="s">
        <v>566</v>
      </c>
      <c r="B168" s="11" t="s">
        <v>567</v>
      </c>
      <c r="C168" s="11" t="s">
        <v>88</v>
      </c>
      <c r="D168" s="11" t="s">
        <v>59</v>
      </c>
      <c r="E168" s="11" t="s">
        <v>66</v>
      </c>
      <c r="F168" s="11" t="s">
        <v>259</v>
      </c>
      <c r="G168" s="11" t="s">
        <v>90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f t="shared" si="108"/>
        <v>0</v>
      </c>
      <c r="U168" s="12">
        <f t="shared" si="109"/>
        <v>0</v>
      </c>
      <c r="V168" s="12">
        <f t="shared" si="110"/>
        <v>0</v>
      </c>
      <c r="W168" s="12">
        <f t="shared" si="111"/>
        <v>0</v>
      </c>
      <c r="X168" s="12">
        <f t="shared" si="112"/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f t="shared" si="113"/>
        <v>0</v>
      </c>
      <c r="AL168" s="12">
        <v>0</v>
      </c>
      <c r="AM168" s="12">
        <f t="shared" si="114"/>
        <v>0</v>
      </c>
      <c r="AN168" s="13">
        <f t="shared" si="91"/>
        <v>0</v>
      </c>
      <c r="AO168" s="12">
        <v>0</v>
      </c>
      <c r="AP168" s="11" t="s">
        <v>568</v>
      </c>
      <c r="AQ168" s="14"/>
    </row>
    <row r="169" spans="1:43" ht="15.75" x14ac:dyDescent="0.5">
      <c r="A169" s="15"/>
      <c r="B169" s="15" t="s">
        <v>569</v>
      </c>
      <c r="C169" s="15"/>
      <c r="D169" s="15"/>
      <c r="E169" s="15"/>
      <c r="F169" s="15"/>
      <c r="G169" s="15"/>
      <c r="H169" s="16">
        <f t="shared" ref="H169:AL169" si="115">SUBTOTAL(9,H6:H168)</f>
        <v>798.30000000000007</v>
      </c>
      <c r="I169" s="16">
        <f t="shared" si="115"/>
        <v>1567.5</v>
      </c>
      <c r="J169" s="16">
        <f t="shared" si="115"/>
        <v>2587.4</v>
      </c>
      <c r="K169" s="16">
        <f t="shared" si="115"/>
        <v>3015.4</v>
      </c>
      <c r="L169" s="16">
        <f t="shared" si="115"/>
        <v>4062.1000000000004</v>
      </c>
      <c r="M169" s="16">
        <f t="shared" si="115"/>
        <v>5068.8</v>
      </c>
      <c r="N169" s="16">
        <f t="shared" si="115"/>
        <v>4853.8000000000011</v>
      </c>
      <c r="O169" s="16">
        <f t="shared" si="115"/>
        <v>4803.8000000000011</v>
      </c>
      <c r="P169" s="16">
        <f t="shared" si="115"/>
        <v>5525.0000000000009</v>
      </c>
      <c r="Q169" s="16">
        <f t="shared" si="115"/>
        <v>5490.2000000000007</v>
      </c>
      <c r="R169" s="16">
        <f t="shared" si="115"/>
        <v>4928.5999999999995</v>
      </c>
      <c r="S169" s="16">
        <f t="shared" si="115"/>
        <v>5611.5999999999985</v>
      </c>
      <c r="T169" s="16">
        <f t="shared" si="115"/>
        <v>4953.2000000000007</v>
      </c>
      <c r="U169" s="16">
        <f t="shared" si="115"/>
        <v>12146.300000000003</v>
      </c>
      <c r="V169" s="16">
        <f t="shared" si="115"/>
        <v>15182.599999999999</v>
      </c>
      <c r="W169" s="16">
        <f t="shared" si="115"/>
        <v>16030.399999999996</v>
      </c>
      <c r="X169" s="16">
        <f t="shared" si="115"/>
        <v>48312.499999999993</v>
      </c>
      <c r="Y169" s="16">
        <f t="shared" si="115"/>
        <v>620.70000000000005</v>
      </c>
      <c r="Z169" s="16">
        <f t="shared" si="115"/>
        <v>1352.6000000000001</v>
      </c>
      <c r="AA169" s="16">
        <f t="shared" si="115"/>
        <v>2373.2000000000003</v>
      </c>
      <c r="AB169" s="16">
        <f t="shared" si="115"/>
        <v>2499.1999999999989</v>
      </c>
      <c r="AC169" s="16">
        <f t="shared" si="115"/>
        <v>3338.6999999999994</v>
      </c>
      <c r="AD169" s="16">
        <f t="shared" si="115"/>
        <v>4443.1999999999989</v>
      </c>
      <c r="AE169" s="16">
        <f t="shared" si="115"/>
        <v>4117.8999999999987</v>
      </c>
      <c r="AF169" s="16">
        <f t="shared" si="115"/>
        <v>3956.3</v>
      </c>
      <c r="AG169" s="16">
        <f t="shared" si="115"/>
        <v>4777.2999999999993</v>
      </c>
      <c r="AH169" s="16">
        <f t="shared" si="115"/>
        <v>102.8</v>
      </c>
      <c r="AI169" s="16">
        <f t="shared" si="115"/>
        <v>54.7</v>
      </c>
      <c r="AJ169" s="16">
        <f t="shared" si="115"/>
        <v>69.399999999999991</v>
      </c>
      <c r="AK169" s="16">
        <f t="shared" si="115"/>
        <v>27706.000000000004</v>
      </c>
      <c r="AL169" s="16">
        <f t="shared" si="115"/>
        <v>44057.499999999985</v>
      </c>
      <c r="AM169" s="16">
        <f t="shared" si="114"/>
        <v>-4255.0000000000073</v>
      </c>
      <c r="AN169" s="17">
        <f t="shared" si="91"/>
        <v>0.57347477360931454</v>
      </c>
      <c r="AO169" s="16">
        <f>SUBTOTAL(9,AO6:AO168)</f>
        <v>32995.399999999994</v>
      </c>
      <c r="AP169" s="15"/>
      <c r="AQ169" s="18"/>
    </row>
  </sheetData>
  <mergeCells count="8">
    <mergeCell ref="A1:AQ1"/>
    <mergeCell ref="AO4:AP4"/>
    <mergeCell ref="Y4:AJ4"/>
    <mergeCell ref="T4:W4"/>
    <mergeCell ref="AK4:AN4"/>
    <mergeCell ref="A2:AQ2"/>
    <mergeCell ref="A4:G4"/>
    <mergeCell ref="H4:S4"/>
  </mergeCells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Capital Plan 2027</vt:lpstr>
      <vt:lpstr>'Capital Plan 2027'!Print_Area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capital investment plan (fictional data)</dc:title>
  <dc:creator>PrintProof AI demo</dc:creator>
  <cp:lastModifiedBy>PrintProof AI demo</cp:lastModifiedBy>
  <dcterms:created xsi:type="dcterms:W3CDTF">2026-10-26T04:38:48Z</dcterms:created>
  <dcterms:modified xsi:type="dcterms:W3CDTF">2026-10-26T04:38:51Z</dcterms:modified>
</cp:coreProperties>
</file>